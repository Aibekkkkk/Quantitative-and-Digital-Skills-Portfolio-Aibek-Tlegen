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echHub\Desktop\portofolio 2\"/>
    </mc:Choice>
  </mc:AlternateContent>
  <xr:revisionPtr revIDLastSave="0" documentId="13_ncr:1_{5EC1D854-79C9-4D30-87CA-44FB08DF4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les" sheetId="1" r:id="rId1"/>
    <sheet name="One cohort" sheetId="2" r:id="rId2"/>
    <sheet name="Three cohorts" sheetId="3" r:id="rId3"/>
    <sheet name="Year summaries" sheetId="4" r:id="rId4"/>
  </sheets>
  <definedNames>
    <definedName name="Exhibit_01">#REF!</definedName>
    <definedName name="Exhibit_02">#REF!</definedName>
    <definedName name="Exhibit_03">#REF!</definedName>
    <definedName name="Exhibit_04">#REF!</definedName>
    <definedName name="Exhibit_05">#REF!</definedName>
    <definedName name="Exhibit_06">#REF!</definedName>
    <definedName name="Exhibit_07">#REF!</definedName>
    <definedName name="Exhibit_08">#REF!</definedName>
    <definedName name="Exhibit_0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3" l="1"/>
  <c r="A55" i="3"/>
  <c r="I54" i="3"/>
  <c r="H54" i="3"/>
  <c r="G54" i="3"/>
  <c r="F54" i="3"/>
  <c r="C54" i="3"/>
  <c r="A54" i="3"/>
  <c r="J53" i="3"/>
  <c r="H53" i="3"/>
  <c r="B53" i="3"/>
  <c r="A53" i="3"/>
  <c r="J52" i="3"/>
  <c r="G52" i="3"/>
  <c r="E52" i="3"/>
  <c r="C52" i="3"/>
  <c r="B52" i="3"/>
  <c r="I51" i="3"/>
  <c r="G51" i="3"/>
  <c r="F51" i="3"/>
  <c r="E51" i="3"/>
  <c r="D51" i="3"/>
  <c r="A51" i="3"/>
  <c r="H50" i="3"/>
  <c r="G50" i="3"/>
  <c r="F50" i="3"/>
  <c r="C50" i="3"/>
  <c r="E49" i="3"/>
  <c r="C49" i="3"/>
  <c r="B49" i="3"/>
  <c r="J48" i="3"/>
  <c r="D48" i="3"/>
  <c r="B48" i="3"/>
  <c r="I47" i="3"/>
  <c r="D47" i="3"/>
  <c r="A47" i="3"/>
  <c r="E46" i="3"/>
  <c r="C46" i="3"/>
  <c r="F45" i="3"/>
  <c r="E45" i="3"/>
  <c r="B45" i="3"/>
  <c r="C44" i="3"/>
  <c r="A44" i="3"/>
  <c r="H42" i="3"/>
  <c r="A41" i="3"/>
  <c r="AC36" i="3"/>
  <c r="J55" i="3" s="1"/>
  <c r="AB36" i="3"/>
  <c r="AA36" i="3"/>
  <c r="G55" i="3" s="1"/>
  <c r="Z36" i="3"/>
  <c r="D55" i="3" s="1"/>
  <c r="Y36" i="3"/>
  <c r="X36" i="3"/>
  <c r="W36" i="3"/>
  <c r="V36" i="3"/>
  <c r="U36" i="3"/>
  <c r="S36" i="3"/>
  <c r="I55" i="3" s="1"/>
  <c r="R36" i="3"/>
  <c r="Q36" i="3"/>
  <c r="F55" i="3" s="1"/>
  <c r="P36" i="3"/>
  <c r="C55" i="3" s="1"/>
  <c r="O36" i="3"/>
  <c r="N36" i="3"/>
  <c r="M36" i="3"/>
  <c r="L36" i="3"/>
  <c r="K36" i="3"/>
  <c r="I36" i="3"/>
  <c r="H55" i="3" s="1"/>
  <c r="H36" i="3"/>
  <c r="G36" i="3"/>
  <c r="F36" i="3"/>
  <c r="B55" i="3" s="1"/>
  <c r="E36" i="3"/>
  <c r="D36" i="3"/>
  <c r="C36" i="3"/>
  <c r="B36" i="3"/>
  <c r="A36" i="3"/>
  <c r="AC35" i="3"/>
  <c r="J54" i="3" s="1"/>
  <c r="AB35" i="3"/>
  <c r="AA35" i="3"/>
  <c r="Z35" i="3"/>
  <c r="D54" i="3" s="1"/>
  <c r="Y35" i="3"/>
  <c r="X35" i="3"/>
  <c r="W35" i="3"/>
  <c r="V35" i="3"/>
  <c r="U35" i="3"/>
  <c r="S35" i="3"/>
  <c r="R35" i="3"/>
  <c r="Q35" i="3"/>
  <c r="P35" i="3"/>
  <c r="O35" i="3"/>
  <c r="N35" i="3"/>
  <c r="M35" i="3"/>
  <c r="L35" i="3"/>
  <c r="K35" i="3"/>
  <c r="I35" i="3"/>
  <c r="H35" i="3"/>
  <c r="G35" i="3"/>
  <c r="E54" i="3" s="1"/>
  <c r="F35" i="3"/>
  <c r="B54" i="3" s="1"/>
  <c r="E35" i="3"/>
  <c r="D35" i="3"/>
  <c r="C35" i="3"/>
  <c r="B35" i="3"/>
  <c r="AC34" i="3"/>
  <c r="AB34" i="3"/>
  <c r="AA34" i="3"/>
  <c r="G53" i="3" s="1"/>
  <c r="Z34" i="3"/>
  <c r="D53" i="3" s="1"/>
  <c r="Y34" i="3"/>
  <c r="X34" i="3"/>
  <c r="W34" i="3"/>
  <c r="V34" i="3"/>
  <c r="U34" i="3"/>
  <c r="S34" i="3"/>
  <c r="I53" i="3" s="1"/>
  <c r="R34" i="3"/>
  <c r="Q34" i="3"/>
  <c r="F53" i="3" s="1"/>
  <c r="P34" i="3"/>
  <c r="C53" i="3" s="1"/>
  <c r="O34" i="3"/>
  <c r="N34" i="3"/>
  <c r="M34" i="3"/>
  <c r="L34" i="3"/>
  <c r="K34" i="3"/>
  <c r="I34" i="3"/>
  <c r="H34" i="3"/>
  <c r="G34" i="3"/>
  <c r="E53" i="3" s="1"/>
  <c r="F34" i="3"/>
  <c r="E34" i="3"/>
  <c r="D34" i="3"/>
  <c r="C34" i="3"/>
  <c r="B34" i="3"/>
  <c r="A34" i="3"/>
  <c r="AC33" i="3"/>
  <c r="AB33" i="3"/>
  <c r="AA33" i="3"/>
  <c r="Z33" i="3"/>
  <c r="D52" i="3" s="1"/>
  <c r="Y33" i="3"/>
  <c r="X33" i="3"/>
  <c r="W33" i="3"/>
  <c r="V33" i="3"/>
  <c r="U33" i="3"/>
  <c r="S33" i="3"/>
  <c r="I52" i="3" s="1"/>
  <c r="R33" i="3"/>
  <c r="Q33" i="3"/>
  <c r="F52" i="3" s="1"/>
  <c r="P33" i="3"/>
  <c r="O33" i="3"/>
  <c r="N33" i="3"/>
  <c r="M33" i="3"/>
  <c r="L33" i="3"/>
  <c r="K33" i="3"/>
  <c r="I33" i="3"/>
  <c r="H52" i="3" s="1"/>
  <c r="H33" i="3"/>
  <c r="G33" i="3"/>
  <c r="F33" i="3"/>
  <c r="E33" i="3"/>
  <c r="D33" i="3"/>
  <c r="C33" i="3"/>
  <c r="B33" i="3"/>
  <c r="A33" i="3"/>
  <c r="A52" i="3" s="1"/>
  <c r="AC32" i="3"/>
  <c r="J51" i="3" s="1"/>
  <c r="AB32" i="3"/>
  <c r="AA32" i="3"/>
  <c r="Z32" i="3"/>
  <c r="Y32" i="3"/>
  <c r="X32" i="3"/>
  <c r="W32" i="3"/>
  <c r="V32" i="3"/>
  <c r="U32" i="3"/>
  <c r="S32" i="3"/>
  <c r="R32" i="3"/>
  <c r="Q32" i="3"/>
  <c r="P32" i="3"/>
  <c r="C51" i="3" s="1"/>
  <c r="O32" i="3"/>
  <c r="N32" i="3"/>
  <c r="M32" i="3"/>
  <c r="L32" i="3"/>
  <c r="K32" i="3"/>
  <c r="I32" i="3"/>
  <c r="H51" i="3" s="1"/>
  <c r="H32" i="3"/>
  <c r="G32" i="3"/>
  <c r="F32" i="3"/>
  <c r="B51" i="3" s="1"/>
  <c r="E32" i="3"/>
  <c r="D32" i="3"/>
  <c r="C32" i="3"/>
  <c r="B32" i="3"/>
  <c r="A32" i="3"/>
  <c r="AC31" i="3"/>
  <c r="J50" i="3" s="1"/>
  <c r="AB31" i="3"/>
  <c r="AA31" i="3"/>
  <c r="Z31" i="3"/>
  <c r="D50" i="3" s="1"/>
  <c r="Y31" i="3"/>
  <c r="X31" i="3"/>
  <c r="W31" i="3"/>
  <c r="V31" i="3"/>
  <c r="U31" i="3"/>
  <c r="S31" i="3"/>
  <c r="I50" i="3" s="1"/>
  <c r="R31" i="3"/>
  <c r="Q31" i="3"/>
  <c r="P31" i="3"/>
  <c r="O31" i="3"/>
  <c r="N31" i="3"/>
  <c r="M31" i="3"/>
  <c r="L31" i="3"/>
  <c r="K31" i="3"/>
  <c r="I31" i="3"/>
  <c r="H31" i="3"/>
  <c r="G31" i="3"/>
  <c r="E50" i="3" s="1"/>
  <c r="F31" i="3"/>
  <c r="B50" i="3" s="1"/>
  <c r="E31" i="3"/>
  <c r="D31" i="3"/>
  <c r="C31" i="3"/>
  <c r="B31" i="3"/>
  <c r="A31" i="3"/>
  <c r="A50" i="3" s="1"/>
  <c r="AC30" i="3"/>
  <c r="J49" i="3" s="1"/>
  <c r="AB30" i="3"/>
  <c r="AA30" i="3"/>
  <c r="G49" i="3" s="1"/>
  <c r="Z30" i="3"/>
  <c r="D49" i="3" s="1"/>
  <c r="Y30" i="3"/>
  <c r="X30" i="3"/>
  <c r="W30" i="3"/>
  <c r="V30" i="3"/>
  <c r="U30" i="3"/>
  <c r="S30" i="3"/>
  <c r="I49" i="3" s="1"/>
  <c r="R30" i="3"/>
  <c r="Q30" i="3"/>
  <c r="F49" i="3" s="1"/>
  <c r="P30" i="3"/>
  <c r="O30" i="3"/>
  <c r="N30" i="3"/>
  <c r="M30" i="3"/>
  <c r="L30" i="3"/>
  <c r="K30" i="3"/>
  <c r="I30" i="3"/>
  <c r="H49" i="3" s="1"/>
  <c r="H30" i="3"/>
  <c r="G30" i="3"/>
  <c r="F30" i="3"/>
  <c r="E30" i="3"/>
  <c r="D30" i="3"/>
  <c r="C30" i="3"/>
  <c r="B30" i="3"/>
  <c r="A30" i="3"/>
  <c r="A49" i="3" s="1"/>
  <c r="AC29" i="3"/>
  <c r="AB29" i="3"/>
  <c r="AA29" i="3"/>
  <c r="G48" i="3" s="1"/>
  <c r="Z29" i="3"/>
  <c r="Y29" i="3"/>
  <c r="X29" i="3"/>
  <c r="W29" i="3"/>
  <c r="V29" i="3"/>
  <c r="U29" i="3"/>
  <c r="S29" i="3"/>
  <c r="I48" i="3" s="1"/>
  <c r="R29" i="3"/>
  <c r="Q29" i="3"/>
  <c r="F48" i="3" s="1"/>
  <c r="P29" i="3"/>
  <c r="C48" i="3" s="1"/>
  <c r="O29" i="3"/>
  <c r="N29" i="3"/>
  <c r="M29" i="3"/>
  <c r="L29" i="3"/>
  <c r="K29" i="3"/>
  <c r="I29" i="3"/>
  <c r="H48" i="3" s="1"/>
  <c r="H29" i="3"/>
  <c r="G29" i="3"/>
  <c r="E48" i="3" s="1"/>
  <c r="F29" i="3"/>
  <c r="E29" i="3"/>
  <c r="D29" i="3"/>
  <c r="C29" i="3"/>
  <c r="B29" i="3"/>
  <c r="A29" i="3"/>
  <c r="A48" i="3" s="1"/>
  <c r="AC28" i="3"/>
  <c r="J47" i="3" s="1"/>
  <c r="AB28" i="3"/>
  <c r="AA28" i="3"/>
  <c r="G47" i="3" s="1"/>
  <c r="Z28" i="3"/>
  <c r="Y28" i="3"/>
  <c r="X28" i="3"/>
  <c r="W28" i="3"/>
  <c r="V28" i="3"/>
  <c r="S28" i="3"/>
  <c r="R28" i="3"/>
  <c r="Q28" i="3"/>
  <c r="F47" i="3" s="1"/>
  <c r="P28" i="3"/>
  <c r="C47" i="3" s="1"/>
  <c r="O28" i="3"/>
  <c r="N28" i="3"/>
  <c r="M28" i="3"/>
  <c r="L28" i="3"/>
  <c r="K28" i="3"/>
  <c r="I28" i="3"/>
  <c r="H47" i="3" s="1"/>
  <c r="H28" i="3"/>
  <c r="G28" i="3"/>
  <c r="E47" i="3" s="1"/>
  <c r="F28" i="3"/>
  <c r="B47" i="3" s="1"/>
  <c r="E28" i="3"/>
  <c r="D28" i="3"/>
  <c r="C28" i="3"/>
  <c r="B28" i="3"/>
  <c r="A28" i="3"/>
  <c r="S27" i="3"/>
  <c r="I46" i="3" s="1"/>
  <c r="R27" i="3"/>
  <c r="Q27" i="3"/>
  <c r="F46" i="3" s="1"/>
  <c r="P27" i="3"/>
  <c r="O27" i="3"/>
  <c r="N27" i="3"/>
  <c r="M27" i="3"/>
  <c r="L27" i="3"/>
  <c r="K27" i="3"/>
  <c r="I27" i="3"/>
  <c r="H46" i="3" s="1"/>
  <c r="H27" i="3"/>
  <c r="G27" i="3"/>
  <c r="F27" i="3"/>
  <c r="B46" i="3" s="1"/>
  <c r="E27" i="3"/>
  <c r="D27" i="3"/>
  <c r="C27" i="3"/>
  <c r="B27" i="3"/>
  <c r="A27" i="3"/>
  <c r="A46" i="3" s="1"/>
  <c r="S26" i="3"/>
  <c r="I45" i="3" s="1"/>
  <c r="R26" i="3"/>
  <c r="Q26" i="3"/>
  <c r="P26" i="3"/>
  <c r="C45" i="3" s="1"/>
  <c r="O26" i="3"/>
  <c r="N26" i="3"/>
  <c r="M26" i="3"/>
  <c r="L26" i="3"/>
  <c r="K26" i="3"/>
  <c r="I26" i="3"/>
  <c r="H45" i="3" s="1"/>
  <c r="H26" i="3"/>
  <c r="G26" i="3"/>
  <c r="F26" i="3"/>
  <c r="E26" i="3"/>
  <c r="D26" i="3"/>
  <c r="C26" i="3"/>
  <c r="B26" i="3"/>
  <c r="A26" i="3"/>
  <c r="A45" i="3" s="1"/>
  <c r="S25" i="3"/>
  <c r="I44" i="3" s="1"/>
  <c r="R25" i="3"/>
  <c r="Q25" i="3"/>
  <c r="F44" i="3" s="1"/>
  <c r="P25" i="3"/>
  <c r="O25" i="3"/>
  <c r="N25" i="3"/>
  <c r="M25" i="3"/>
  <c r="L25" i="3"/>
  <c r="K25" i="3"/>
  <c r="I25" i="3"/>
  <c r="H44" i="3" s="1"/>
  <c r="H25" i="3"/>
  <c r="G25" i="3"/>
  <c r="E44" i="3" s="1"/>
  <c r="F25" i="3"/>
  <c r="B44" i="3" s="1"/>
  <c r="E25" i="3"/>
  <c r="D25" i="3"/>
  <c r="C25" i="3"/>
  <c r="B25" i="3"/>
  <c r="A25" i="3"/>
  <c r="S24" i="3"/>
  <c r="I43" i="3" s="1"/>
  <c r="R24" i="3"/>
  <c r="Q24" i="3"/>
  <c r="F43" i="3" s="1"/>
  <c r="P24" i="3"/>
  <c r="C43" i="3" s="1"/>
  <c r="O24" i="3"/>
  <c r="N24" i="3"/>
  <c r="M24" i="3"/>
  <c r="L24" i="3"/>
  <c r="K24" i="3"/>
  <c r="I24" i="3"/>
  <c r="H43" i="3" s="1"/>
  <c r="H24" i="3"/>
  <c r="G24" i="3"/>
  <c r="E43" i="3" s="1"/>
  <c r="F24" i="3"/>
  <c r="B43" i="3" s="1"/>
  <c r="E24" i="3"/>
  <c r="D24" i="3"/>
  <c r="C24" i="3"/>
  <c r="B24" i="3"/>
  <c r="A24" i="3"/>
  <c r="A43" i="3" s="1"/>
  <c r="I23" i="3"/>
  <c r="H23" i="3"/>
  <c r="G23" i="3"/>
  <c r="E42" i="3" s="1"/>
  <c r="F23" i="3"/>
  <c r="B42" i="3" s="1"/>
  <c r="E23" i="3"/>
  <c r="D23" i="3"/>
  <c r="C23" i="3"/>
  <c r="B23" i="3"/>
  <c r="A23" i="3"/>
  <c r="A42" i="3" s="1"/>
  <c r="I39" i="2"/>
  <c r="H39" i="2"/>
  <c r="G39" i="2"/>
  <c r="F39" i="2"/>
  <c r="E39" i="2"/>
  <c r="D39" i="2"/>
  <c r="C39" i="2"/>
  <c r="B39" i="2"/>
  <c r="A39" i="2"/>
  <c r="I38" i="2"/>
  <c r="H38" i="2"/>
  <c r="G38" i="2"/>
  <c r="F38" i="2"/>
  <c r="E38" i="2"/>
  <c r="D38" i="2"/>
  <c r="C38" i="2"/>
  <c r="B38" i="2"/>
  <c r="A38" i="2"/>
  <c r="I37" i="2"/>
  <c r="H37" i="2"/>
  <c r="G37" i="2"/>
  <c r="F37" i="2"/>
  <c r="E37" i="2"/>
  <c r="D37" i="2"/>
  <c r="C37" i="2"/>
  <c r="B37" i="2"/>
  <c r="A37" i="2"/>
  <c r="I36" i="2"/>
  <c r="H36" i="2"/>
  <c r="G36" i="2"/>
  <c r="F36" i="2"/>
  <c r="E36" i="2"/>
  <c r="D36" i="2"/>
  <c r="C36" i="2"/>
  <c r="B36" i="2"/>
  <c r="A36" i="2"/>
  <c r="I35" i="2"/>
  <c r="H35" i="2"/>
  <c r="G35" i="2"/>
  <c r="F35" i="2"/>
  <c r="E35" i="2"/>
  <c r="D35" i="2"/>
  <c r="C35" i="2"/>
  <c r="B35" i="2"/>
  <c r="A35" i="2"/>
  <c r="I34" i="2"/>
  <c r="H34" i="2"/>
  <c r="G34" i="2"/>
  <c r="F34" i="2"/>
  <c r="E34" i="2"/>
  <c r="D34" i="2"/>
  <c r="C34" i="2"/>
  <c r="B34" i="2"/>
  <c r="A34" i="2"/>
  <c r="I33" i="2"/>
  <c r="H33" i="2"/>
  <c r="G33" i="2"/>
  <c r="F33" i="2"/>
  <c r="E33" i="2"/>
  <c r="D33" i="2"/>
  <c r="C33" i="2"/>
  <c r="B33" i="2"/>
  <c r="A33" i="2"/>
  <c r="I32" i="2"/>
  <c r="H32" i="2"/>
  <c r="G32" i="2"/>
  <c r="F32" i="2"/>
  <c r="E32" i="2"/>
  <c r="D32" i="2"/>
  <c r="C32" i="2"/>
  <c r="B32" i="2"/>
  <c r="A32" i="2"/>
  <c r="I31" i="2"/>
  <c r="H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I29" i="2"/>
  <c r="H29" i="2"/>
  <c r="G29" i="2"/>
  <c r="F29" i="2"/>
  <c r="E29" i="2"/>
  <c r="D29" i="2"/>
  <c r="C29" i="2"/>
  <c r="B29" i="2"/>
  <c r="A29" i="2"/>
  <c r="I28" i="2"/>
  <c r="H28" i="2"/>
  <c r="G28" i="2"/>
  <c r="F28" i="2"/>
  <c r="E28" i="2"/>
  <c r="D28" i="2"/>
  <c r="C28" i="2"/>
  <c r="B28" i="2"/>
  <c r="A28" i="2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I25" i="2"/>
  <c r="H25" i="2"/>
  <c r="G25" i="2"/>
  <c r="F25" i="2"/>
  <c r="E25" i="2"/>
  <c r="D25" i="2"/>
  <c r="C25" i="2"/>
  <c r="B25" i="2"/>
  <c r="A25" i="2"/>
  <c r="I24" i="2"/>
  <c r="H24" i="2"/>
  <c r="G24" i="2"/>
  <c r="F24" i="2"/>
  <c r="E24" i="2"/>
  <c r="D24" i="2"/>
  <c r="C24" i="2"/>
  <c r="B24" i="2"/>
  <c r="A24" i="2"/>
  <c r="J29" i="1"/>
  <c r="I29" i="1"/>
  <c r="H29" i="1"/>
  <c r="G29" i="1"/>
  <c r="F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<sst xmlns="http://schemas.openxmlformats.org/spreadsheetml/2006/main" count="146" uniqueCount="39">
  <si>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</si>
  <si>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</si>
  <si>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</si>
  <si>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</si>
  <si>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</si>
  <si>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</si>
  <si>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</si>
  <si>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</si>
  <si>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</si>
  <si>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</si>
  <si>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</si>
  <si>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</si>
  <si>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</si>
  <si>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</si>
  <si>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</si>
  <si>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</si>
  <si>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</si>
  <si>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</si>
  <si>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</si>
  <si>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</si>
  <si>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</si>
  <si>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</si>
  <si>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</si>
  <si>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</si>
  <si>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</si>
  <si>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</si>
  <si>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</si>
  <si>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</si>
  <si>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</si>
  <si>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</si>
  <si>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</si>
  <si>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</si>
  <si>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</si>
  <si>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Q3 2021</t>
  </si>
  <si>
    <t>Q4 2021</t>
  </si>
  <si>
    <t>Q4 2022</t>
  </si>
  <si>
    <t>https://docs.google.com/spreadsheets/d/16x8zlfdKSDrt8KCRVrkRtkOdrEvM_DMxIaDW7Ubr9Vc/edit?gid=353029270#gid=353029270</t>
  </si>
  <si>
    <t>Table 4 Yearly summaries for all cohorts of customers, including those acquired before 2021</t>
  </si>
  <si>
    <t>Pre-2021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</si>
</sst>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$-409]#,##0"/>
    <numFmt numFmtId="166" formatCode="_(* #,##0_);_(* \(#,##0\);_(* &quot;-&quot;??_);_(@_)"/>
    <numFmt numFmtId="167" formatCode="_(* #,##0.0_);_(* \(#,##0.0\);_(* &quot;-&quot;??_);_(@_)"/>
  </numFmts>
  <fonts count="10">
    <font>
      <sz val="10"/>
      <color rgb="FF000000"/>
      <name val="Arial"/>
      <scheme val="minor"/>
    </font>
    <font>
      <sz val="14"/>
      <color rgb="FF0070C0"/>
      <name val="Calibri"/>
    </font>
    <font>
      <b/>
      <sz val="11"/>
      <color rgb="FFC00000"/>
      <name val="Calibri"/>
    </font>
    <font>
      <sz val="11"/>
      <color theme="1"/>
      <name val="Calibri"/>
    </font>
    <font>
      <sz val="11"/>
      <color theme="1"/>
      <name val="Helvetica Neue"/>
    </font>
    <font>
      <sz val="10"/>
      <color theme="1"/>
      <name val="Arial"/>
      <scheme val="minor"/>
    </font>
    <font>
      <u/>
      <sz val="11"/>
      <color theme="1"/>
      <name val="Calibri"/>
    </font>
    <font>
      <u/>
      <sz val="11"/>
      <color theme="1"/>
      <name val="Calibri"/>
    </font>
    <font>
      <b/>
      <sz val="10"/>
      <color theme="1"/>
      <name val="&quot;Calibri&quot;"/>
    </font>
    <font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3" fontId="3" fillId="2" borderId="2" xfId="0" applyNumberFormat="1" applyFont="1" applyFill="1" applyBorder="1"/>
    <xf numFmtId="3" fontId="3" fillId="2" borderId="1" xfId="0" applyNumberFormat="1" applyFont="1" applyFill="1" applyBorder="1"/>
    <xf numFmtId="0" fontId="3" fillId="2" borderId="3" xfId="0" applyFont="1" applyFill="1" applyBorder="1" applyAlignment="1">
      <alignment horizontal="right"/>
    </xf>
    <xf numFmtId="3" fontId="3" fillId="2" borderId="3" xfId="0" applyNumberFormat="1" applyFont="1" applyFill="1" applyBorder="1"/>
    <xf numFmtId="0" fontId="3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9" fontId="3" fillId="0" borderId="5" xfId="0" applyNumberFormat="1" applyFont="1" applyBorder="1"/>
    <xf numFmtId="4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0" fontId="3" fillId="0" borderId="6" xfId="0" applyFont="1" applyBorder="1" applyAlignment="1">
      <alignment horizontal="right"/>
    </xf>
    <xf numFmtId="9" fontId="3" fillId="0" borderId="6" xfId="0" applyNumberFormat="1" applyFont="1" applyBorder="1"/>
    <xf numFmtId="4" fontId="3" fillId="0" borderId="6" xfId="0" applyNumberFormat="1" applyFont="1" applyBorder="1"/>
    <xf numFmtId="164" fontId="3" fillId="0" borderId="6" xfId="0" applyNumberFormat="1" applyFont="1" applyBorder="1"/>
    <xf numFmtId="165" fontId="3" fillId="0" borderId="6" xfId="0" applyNumberFormat="1" applyFont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2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0" borderId="7" xfId="0" applyFont="1" applyBorder="1" applyAlignment="1">
      <alignment horizontal="right" wrapText="1"/>
    </xf>
    <xf numFmtId="3" fontId="3" fillId="0" borderId="5" xfId="0" applyNumberFormat="1" applyFont="1" applyBorder="1"/>
    <xf numFmtId="166" fontId="3" fillId="0" borderId="5" xfId="0" applyNumberFormat="1" applyFont="1" applyBorder="1"/>
    <xf numFmtId="1" fontId="3" fillId="0" borderId="5" xfId="0" applyNumberFormat="1" applyFont="1" applyBorder="1"/>
    <xf numFmtId="164" fontId="3" fillId="0" borderId="5" xfId="0" applyNumberFormat="1" applyFont="1" applyBorder="1"/>
    <xf numFmtId="3" fontId="3" fillId="0" borderId="0" xfId="0" applyNumberFormat="1" applyFont="1"/>
    <xf numFmtId="166" fontId="3" fillId="0" borderId="0" xfId="0" applyNumberFormat="1" applyFont="1"/>
    <xf numFmtId="1" fontId="3" fillId="0" borderId="0" xfId="0" applyNumberFormat="1" applyFont="1"/>
    <xf numFmtId="0" fontId="3" fillId="0" borderId="8" xfId="0" applyFont="1" applyBorder="1" applyAlignment="1">
      <alignment horizontal="right"/>
    </xf>
    <xf numFmtId="3" fontId="3" fillId="0" borderId="8" xfId="0" applyNumberFormat="1" applyFont="1" applyBorder="1"/>
    <xf numFmtId="166" fontId="3" fillId="0" borderId="8" xfId="0" applyNumberFormat="1" applyFont="1" applyBorder="1"/>
    <xf numFmtId="9" fontId="3" fillId="0" borderId="8" xfId="0" applyNumberFormat="1" applyFont="1" applyBorder="1"/>
    <xf numFmtId="1" fontId="3" fillId="0" borderId="8" xfId="0" applyNumberFormat="1" applyFont="1" applyBorder="1"/>
    <xf numFmtId="164" fontId="3" fillId="0" borderId="8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4" fontId="5" fillId="0" borderId="0" xfId="0" applyNumberFormat="1" applyFont="1"/>
    <xf numFmtId="4" fontId="3" fillId="2" borderId="1" xfId="0" applyNumberFormat="1" applyFont="1" applyFill="1" applyBorder="1" applyAlignment="1">
      <alignment horizontal="right" wrapText="1"/>
    </xf>
    <xf numFmtId="4" fontId="3" fillId="2" borderId="1" xfId="0" applyNumberFormat="1" applyFont="1" applyFill="1" applyBorder="1"/>
    <xf numFmtId="4" fontId="3" fillId="2" borderId="3" xfId="0" applyNumberFormat="1" applyFont="1" applyFill="1" applyBorder="1"/>
    <xf numFmtId="0" fontId="3" fillId="0" borderId="7" xfId="0" applyFont="1" applyBorder="1" applyAlignment="1">
      <alignment wrapText="1"/>
    </xf>
    <xf numFmtId="167" fontId="3" fillId="0" borderId="0" xfId="0" applyNumberFormat="1" applyFont="1"/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" fontId="3" fillId="0" borderId="8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0" fontId="9" fillId="2" borderId="1" xfId="0" applyFont="1" applyFill="1" applyBorder="1"/>
    <xf numFmtId="0" fontId="3" fillId="2" borderId="9" xfId="0" applyFont="1" applyFill="1" applyBorder="1" applyAlignment="1"/>
    <xf numFmtId="0" fontId="3" fillId="2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Q3 2016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cohorts'!$B$42:$B$55</c:f>
              <c:numCache>
                <c:formatCode>0%</c:formatCode>
                <c:ptCount val="14"/>
                <c:pt idx="0">
                  <c:v>1</c:v>
                </c:pt>
                <c:pt idx="1">
                  <c:v>0.18613652357494723</c:v>
                </c:pt>
                <c:pt idx="2">
                  <c:v>8.3391977480647431E-2</c:v>
                </c:pt>
                <c:pt idx="3">
                  <c:v>0.11189303307529909</c:v>
                </c:pt>
                <c:pt idx="4">
                  <c:v>0.11154116819141449</c:v>
                </c:pt>
                <c:pt idx="5">
                  <c:v>0.12878254750175933</c:v>
                </c:pt>
                <c:pt idx="6">
                  <c:v>8.2336382828993665E-2</c:v>
                </c:pt>
                <c:pt idx="7">
                  <c:v>8.9373680506685427E-2</c:v>
                </c:pt>
                <c:pt idx="8">
                  <c:v>9.4651653764954255E-2</c:v>
                </c:pt>
                <c:pt idx="9">
                  <c:v>0.12596762843068263</c:v>
                </c:pt>
                <c:pt idx="10">
                  <c:v>7.7410274454609435E-2</c:v>
                </c:pt>
                <c:pt idx="11">
                  <c:v>7.8817733990147784E-2</c:v>
                </c:pt>
                <c:pt idx="12">
                  <c:v>8.0928923293455315E-2</c:v>
                </c:pt>
                <c:pt idx="13">
                  <c:v>0.10942997888810696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7-4F2D-900C-07D373B00908}"/>
            </c:ext>
          </c:extLst>
        </c:ser>
        <c:ser>
          <c:idx val="1"/>
          <c:order val="1"/>
          <c:tx>
            <c:v>Q4 2016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cohorts'!$C$42:$C$55</c:f>
              <c:numCache>
                <c:formatCode>0%</c:formatCode>
                <c:ptCount val="14"/>
                <c:pt idx="1">
                  <c:v>1</c:v>
                </c:pt>
                <c:pt idx="2">
                  <c:v>0.10047070280798572</c:v>
                </c:pt>
                <c:pt idx="3">
                  <c:v>8.8621976951793538E-2</c:v>
                </c:pt>
                <c:pt idx="4">
                  <c:v>7.3202402207433862E-2</c:v>
                </c:pt>
                <c:pt idx="5">
                  <c:v>0.15241032299951307</c:v>
                </c:pt>
                <c:pt idx="6">
                  <c:v>6.7846128875182599E-2</c:v>
                </c:pt>
                <c:pt idx="7">
                  <c:v>7.1741600389547147E-2</c:v>
                </c:pt>
                <c:pt idx="8">
                  <c:v>6.979386463236488E-2</c:v>
                </c:pt>
                <c:pt idx="9">
                  <c:v>0.14364551209219284</c:v>
                </c:pt>
                <c:pt idx="10">
                  <c:v>6.1840610290537251E-2</c:v>
                </c:pt>
                <c:pt idx="11">
                  <c:v>6.2327544229832818E-2</c:v>
                </c:pt>
                <c:pt idx="12">
                  <c:v>5.6971270897581562E-2</c:v>
                </c:pt>
                <c:pt idx="13">
                  <c:v>0.12059730563220257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7-4F2D-900C-07D373B00908}"/>
            </c:ext>
          </c:extLst>
        </c:ser>
        <c:ser>
          <c:idx val="2"/>
          <c:order val="2"/>
          <c:tx>
            <c:v>Q4 2017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cohorts'!$D$42:$D$55</c:f>
              <c:numCache>
                <c:formatCode>0%</c:formatCode>
                <c:ptCount val="14"/>
                <c:pt idx="5">
                  <c:v>1</c:v>
                </c:pt>
                <c:pt idx="6">
                  <c:v>0.11732698520659751</c:v>
                </c:pt>
                <c:pt idx="7">
                  <c:v>8.0428498554667577E-2</c:v>
                </c:pt>
                <c:pt idx="8">
                  <c:v>7.1416425777928921E-2</c:v>
                </c:pt>
                <c:pt idx="9">
                  <c:v>0.16986906988607381</c:v>
                </c:pt>
                <c:pt idx="10">
                  <c:v>6.5805135181091656E-2</c:v>
                </c:pt>
                <c:pt idx="11">
                  <c:v>5.8323414385308622E-2</c:v>
                </c:pt>
                <c:pt idx="12">
                  <c:v>6.0533922802244518E-2</c:v>
                </c:pt>
                <c:pt idx="13">
                  <c:v>0.13229042679816358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7-4F2D-900C-07D373B00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600109"/>
        <c:axId val="785036378"/>
      </c:lineChart>
      <c:catAx>
        <c:axId val="823600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85036378"/>
        <c:crosses val="autoZero"/>
        <c:auto val="1"/>
        <c:lblAlgn val="ctr"/>
        <c:lblOffset val="100"/>
        <c:noMultiLvlLbl val="1"/>
      </c:catAx>
      <c:valAx>
        <c:axId val="78503637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23600109"/>
        <c:crosses val="autoZero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Q3 2016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cohorts'!$E$42:$E$55</c:f>
              <c:numCache>
                <c:formatCode>0</c:formatCode>
                <c:ptCount val="14"/>
                <c:pt idx="0">
                  <c:v>6638.2987332864177</c:v>
                </c:pt>
                <c:pt idx="1">
                  <c:v>8274.1209829867676</c:v>
                </c:pt>
                <c:pt idx="2">
                  <c:v>8054.5991561181436</c:v>
                </c:pt>
                <c:pt idx="3">
                  <c:v>7412.8930817610062</c:v>
                </c:pt>
                <c:pt idx="4">
                  <c:v>6982.744479495268</c:v>
                </c:pt>
                <c:pt idx="5">
                  <c:v>8245.0409836065573</c:v>
                </c:pt>
                <c:pt idx="6">
                  <c:v>6732.3290598290596</c:v>
                </c:pt>
                <c:pt idx="7">
                  <c:v>7105.3937007874019</c:v>
                </c:pt>
                <c:pt idx="8">
                  <c:v>5883.7732342007439</c:v>
                </c:pt>
                <c:pt idx="9">
                  <c:v>9000.1815642458096</c:v>
                </c:pt>
                <c:pt idx="10">
                  <c:v>7449.75</c:v>
                </c:pt>
                <c:pt idx="11">
                  <c:v>7779.7991071428569</c:v>
                </c:pt>
                <c:pt idx="12">
                  <c:v>6290.086956521739</c:v>
                </c:pt>
                <c:pt idx="13">
                  <c:v>8661.5273311897108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B-4DBA-9DF8-55B4737BAC5A}"/>
            </c:ext>
          </c:extLst>
        </c:ser>
        <c:ser>
          <c:idx val="1"/>
          <c:order val="1"/>
          <c:tx>
            <c:v>Q4 2016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cohorts'!$F$42:$F$55</c:f>
              <c:numCache>
                <c:formatCode>0</c:formatCode>
                <c:ptCount val="14"/>
                <c:pt idx="1">
                  <c:v>8248.0092517448466</c:v>
                </c:pt>
                <c:pt idx="2">
                  <c:v>8717.9886914378021</c:v>
                </c:pt>
                <c:pt idx="3">
                  <c:v>7352.5732600732599</c:v>
                </c:pt>
                <c:pt idx="4">
                  <c:v>7795.8536585365855</c:v>
                </c:pt>
                <c:pt idx="5">
                  <c:v>9322.8807241746545</c:v>
                </c:pt>
                <c:pt idx="6">
                  <c:v>8205.78947368421</c:v>
                </c:pt>
                <c:pt idx="7">
                  <c:v>7636.7873303167416</c:v>
                </c:pt>
                <c:pt idx="8">
                  <c:v>8084.6162790697672</c:v>
                </c:pt>
                <c:pt idx="9">
                  <c:v>9616.4858757062138</c:v>
                </c:pt>
                <c:pt idx="10">
                  <c:v>9027.6509186351705</c:v>
                </c:pt>
                <c:pt idx="11">
                  <c:v>9029.8828125</c:v>
                </c:pt>
                <c:pt idx="12">
                  <c:v>6877.0370370370374</c:v>
                </c:pt>
                <c:pt idx="13">
                  <c:v>10151.608344549126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B-4DBA-9DF8-55B4737BAC5A}"/>
            </c:ext>
          </c:extLst>
        </c:ser>
        <c:ser>
          <c:idx val="2"/>
          <c:order val="2"/>
          <c:tx>
            <c:v>Q4 2017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cohorts'!$G$42:$G$55</c:f>
              <c:numCache>
                <c:formatCode>0</c:formatCode>
                <c:ptCount val="14"/>
                <c:pt idx="5">
                  <c:v>7837.0838292807348</c:v>
                </c:pt>
                <c:pt idx="6">
                  <c:v>8017.166666666667</c:v>
                </c:pt>
                <c:pt idx="7">
                  <c:v>7550.4651162790697</c:v>
                </c:pt>
                <c:pt idx="8">
                  <c:v>6757.1428571428569</c:v>
                </c:pt>
                <c:pt idx="9">
                  <c:v>8936.0960960960965</c:v>
                </c:pt>
                <c:pt idx="10">
                  <c:v>8101.485788113695</c:v>
                </c:pt>
                <c:pt idx="11">
                  <c:v>7425</c:v>
                </c:pt>
                <c:pt idx="12">
                  <c:v>6325.7724719101125</c:v>
                </c:pt>
                <c:pt idx="13">
                  <c:v>9364.2802056555265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B-4DBA-9DF8-55B4737B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806890"/>
        <c:axId val="1567191371"/>
      </c:lineChart>
      <c:catAx>
        <c:axId val="1584806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67191371"/>
        <c:crosses val="autoZero"/>
        <c:auto val="1"/>
        <c:lblAlgn val="ctr"/>
        <c:lblOffset val="100"/>
        <c:noMultiLvlLbl val="1"/>
      </c:catAx>
      <c:valAx>
        <c:axId val="156719137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848068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Q3 2016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cohorts'!$H$42:$H$55</c:f>
              <c:numCache>
                <c:formatCode>0</c:formatCode>
                <c:ptCount val="14"/>
                <c:pt idx="0">
                  <c:v>5250.7779014750904</c:v>
                </c:pt>
                <c:pt idx="1">
                  <c:v>5350.867970660147</c:v>
                </c:pt>
                <c:pt idx="2">
                  <c:v>5873.6615384615388</c:v>
                </c:pt>
                <c:pt idx="3">
                  <c:v>5047.751605995717</c:v>
                </c:pt>
                <c:pt idx="4">
                  <c:v>4729.764957264957</c:v>
                </c:pt>
                <c:pt idx="5">
                  <c:v>4906.8048780487807</c:v>
                </c:pt>
                <c:pt idx="6">
                  <c:v>4647.0943952802363</c:v>
                </c:pt>
                <c:pt idx="7">
                  <c:v>4423.4558823529414</c:v>
                </c:pt>
                <c:pt idx="8">
                  <c:v>4111</c:v>
                </c:pt>
                <c:pt idx="9">
                  <c:v>5155.3040000000001</c:v>
                </c:pt>
                <c:pt idx="10">
                  <c:v>5074.1331269349848</c:v>
                </c:pt>
                <c:pt idx="11">
                  <c:v>5155.8431952662722</c:v>
                </c:pt>
                <c:pt idx="12">
                  <c:v>4145.3295128939826</c:v>
                </c:pt>
                <c:pt idx="13">
                  <c:v>5150.544933078394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B-4DD5-A7EF-C6D1C7F314CA}"/>
            </c:ext>
          </c:extLst>
        </c:ser>
        <c:ser>
          <c:idx val="1"/>
          <c:order val="1"/>
          <c:tx>
            <c:v>Q4 2016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cohorts'!$I$42:$I$55</c:f>
              <c:numCache>
                <c:formatCode>0</c:formatCode>
                <c:ptCount val="14"/>
                <c:pt idx="1">
                  <c:v>6367.917919799499</c:v>
                </c:pt>
                <c:pt idx="2">
                  <c:v>5747.0021299254522</c:v>
                </c:pt>
                <c:pt idx="3">
                  <c:v>4695.3274853801167</c:v>
                </c:pt>
                <c:pt idx="4">
                  <c:v>5051.6235632183907</c:v>
                </c:pt>
                <c:pt idx="5">
                  <c:v>5544.1323622545915</c:v>
                </c:pt>
                <c:pt idx="6">
                  <c:v>4992.7510917030568</c:v>
                </c:pt>
                <c:pt idx="7">
                  <c:v>4573.794037940379</c:v>
                </c:pt>
                <c:pt idx="8">
                  <c:v>4755.6566347469225</c:v>
                </c:pt>
                <c:pt idx="9">
                  <c:v>5519.1893644617376</c:v>
                </c:pt>
                <c:pt idx="10">
                  <c:v>5503.2560000000003</c:v>
                </c:pt>
                <c:pt idx="11">
                  <c:v>5301.9495412844035</c:v>
                </c:pt>
                <c:pt idx="12">
                  <c:v>4302.7450980392159</c:v>
                </c:pt>
                <c:pt idx="13">
                  <c:v>5529.7983870967746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B-4DD5-A7EF-C6D1C7F314CA}"/>
            </c:ext>
          </c:extLst>
        </c:ser>
        <c:ser>
          <c:idx val="2"/>
          <c:order val="2"/>
          <c:tx>
            <c:v>Q4 2017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'Three cohorts'!$A$42:$A$55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https://docs.google.com/spreadsheets/d/16x8zlfdKSDrt8KCRVrkRtkOdrEvM_DMxIaDW7Ubr9Vc/edit?gid=353029270#gid=353029270</c:v>
                </c:pt>
                <c:pt idx="13">
                  <c:v>2024Q4</c:v>
                </c:pt>
              </c:strCache>
            </c:strRef>
          </c:cat>
          <c:val>
            <c:numRef>
              <c:f>'Three cohorts'!$J$42:$J$55</c:f>
              <c:numCache>
                <c:formatCode>0</c:formatCode>
                <c:ptCount val="14"/>
                <c:pt idx="5">
                  <c:v>6024.0347666971638</c:v>
                </c:pt>
                <c:pt idx="6">
                  <c:v>5471.6567754698317</c:v>
                </c:pt>
                <c:pt idx="7">
                  <c:v>5290.9185185185188</c:v>
                </c:pt>
                <c:pt idx="8">
                  <c:v>4722.1297836938438</c:v>
                </c:pt>
                <c:pt idx="9">
                  <c:v>5377.8072289156626</c:v>
                </c:pt>
                <c:pt idx="10">
                  <c:v>5578.7811387900356</c:v>
                </c:pt>
                <c:pt idx="11">
                  <c:v>4878.8793103448279</c:v>
                </c:pt>
                <c:pt idx="12">
                  <c:v>4347.4420849420849</c:v>
                </c:pt>
                <c:pt idx="13">
                  <c:v>5604.1615384615388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B-4DD5-A7EF-C6D1C7F3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492308"/>
        <c:axId val="1898850773"/>
      </c:lineChart>
      <c:catAx>
        <c:axId val="581492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98850773"/>
        <c:crosses val="autoZero"/>
        <c:auto val="1"/>
        <c:lblAlgn val="ctr"/>
        <c:lblOffset val="100"/>
        <c:noMultiLvlLbl val="1"/>
      </c:catAx>
      <c:valAx>
        <c:axId val="1898850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814923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40</xdr:row>
      <xdr:rowOff>142875</xdr:rowOff>
    </xdr:from>
    <xdr:ext cx="4638675" cy="26765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66675</xdr:colOff>
      <xdr:row>40</xdr:row>
      <xdr:rowOff>161925</xdr:rowOff>
    </xdr:from>
    <xdr:ext cx="4400550" cy="26765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25</xdr:col>
      <xdr:colOff>0</xdr:colOff>
      <xdr:row>41</xdr:row>
      <xdr:rowOff>0</xdr:rowOff>
    </xdr:from>
    <xdr:ext cx="4352925" cy="2667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6x8zlfdKSDrt8KCRVrkRtkOdrEvM_DMxIaDW7Ubr9Vc/edit?gid=353029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D30" sqref="D30"/>
    </sheetView>
  </sheetViews>
  <sheetFormatPr defaultColWidth="12.6640625" defaultRowHeight="15.75" customHeight="1"/>
  <cols>
    <col min="1" max="1" width="8.33203125" customWidth="1"/>
    <col min="2" max="2" width="10.109375" customWidth="1"/>
    <col min="3" max="3" width="14.33203125" customWidth="1"/>
    <col min="4" max="4" width="11.44140625" customWidth="1"/>
    <col min="5" max="5" width="16.109375" customWidth="1"/>
    <col min="6" max="6" width="12.109375" customWidth="1"/>
    <col min="7" max="7" width="11.77734375" customWidth="1"/>
    <col min="8" max="9" width="7.77734375" customWidth="1"/>
    <col min="10" max="11" width="13.44140625" customWidth="1"/>
    <col min="12" max="20" width="7.77734375" customWidth="1"/>
  </cols>
  <sheetData>
    <row r="1" spans="1:5" ht="14.25" customHeight="1">
      <c r="A1" s="1"/>
    </row>
    <row r="2" spans="1:5" ht="14.25" customHeight="1">
      <c r="A2" s="2"/>
    </row>
    <row r="3" spans="1:5" ht="14.2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4.25" customHeight="1">
      <c r="A4" s="4">
        <v>1</v>
      </c>
      <c r="B4" s="5">
        <v>3180</v>
      </c>
      <c r="C4" s="5">
        <v>17503</v>
      </c>
      <c r="D4" s="5">
        <v>128952505</v>
      </c>
      <c r="E4" s="5">
        <v>62160175</v>
      </c>
    </row>
    <row r="5" spans="1:5" ht="14.25" customHeight="1">
      <c r="A5" s="3">
        <v>2</v>
      </c>
      <c r="B5" s="6">
        <v>3180</v>
      </c>
      <c r="C5" s="6">
        <v>8703</v>
      </c>
      <c r="D5" s="6">
        <v>55542905</v>
      </c>
      <c r="E5" s="6">
        <v>27079030</v>
      </c>
    </row>
    <row r="6" spans="1:5" ht="14.25" customHeight="1">
      <c r="A6" s="3">
        <v>3</v>
      </c>
      <c r="B6" s="6">
        <v>3177</v>
      </c>
      <c r="C6" s="6">
        <v>6345</v>
      </c>
      <c r="D6" s="6">
        <v>38274225</v>
      </c>
      <c r="E6" s="6">
        <v>18722055</v>
      </c>
    </row>
    <row r="7" spans="1:5" ht="14.25" customHeight="1">
      <c r="A7" s="3">
        <v>4</v>
      </c>
      <c r="B7" s="6">
        <v>3178</v>
      </c>
      <c r="C7" s="6">
        <v>5349</v>
      </c>
      <c r="D7" s="6">
        <v>29017010</v>
      </c>
      <c r="E7" s="6">
        <v>13916595</v>
      </c>
    </row>
    <row r="8" spans="1:5" ht="14.25" customHeight="1">
      <c r="A8" s="3">
        <v>5</v>
      </c>
      <c r="B8" s="6">
        <v>3183</v>
      </c>
      <c r="C8" s="6">
        <v>4683</v>
      </c>
      <c r="D8" s="6">
        <v>22555225</v>
      </c>
      <c r="E8" s="6">
        <v>10734405</v>
      </c>
    </row>
    <row r="9" spans="1:5" ht="14.25" customHeight="1">
      <c r="A9" s="3">
        <v>6</v>
      </c>
      <c r="B9" s="6">
        <v>3124</v>
      </c>
      <c r="C9" s="6">
        <v>4330</v>
      </c>
      <c r="D9" s="6">
        <v>17169955</v>
      </c>
      <c r="E9" s="6">
        <v>7948270</v>
      </c>
    </row>
    <row r="10" spans="1:5" ht="14.25" customHeight="1">
      <c r="A10" s="3">
        <v>7</v>
      </c>
      <c r="B10" s="6">
        <v>3233</v>
      </c>
      <c r="C10" s="6">
        <v>4004</v>
      </c>
      <c r="D10" s="6">
        <v>13470710</v>
      </c>
      <c r="E10" s="6">
        <v>6240025</v>
      </c>
    </row>
    <row r="11" spans="1:5" ht="14.25" customHeight="1">
      <c r="A11" s="3">
        <v>8</v>
      </c>
      <c r="B11" s="6">
        <v>2996</v>
      </c>
      <c r="C11" s="6">
        <v>3414</v>
      </c>
      <c r="D11" s="6">
        <v>9381075</v>
      </c>
      <c r="E11" s="6">
        <v>4326685</v>
      </c>
    </row>
    <row r="12" spans="1:5" ht="14.25" customHeight="1">
      <c r="A12" s="3">
        <v>9</v>
      </c>
      <c r="B12" s="6">
        <v>3360</v>
      </c>
      <c r="C12" s="6">
        <v>3659</v>
      </c>
      <c r="D12" s="6">
        <v>7496500</v>
      </c>
      <c r="E12" s="6">
        <v>3334100</v>
      </c>
    </row>
    <row r="13" spans="1:5" ht="14.25" customHeight="1">
      <c r="A13" s="7">
        <v>10</v>
      </c>
      <c r="B13" s="8">
        <v>3186</v>
      </c>
      <c r="C13" s="8">
        <v>3270</v>
      </c>
      <c r="D13" s="8">
        <v>3740550</v>
      </c>
      <c r="E13" s="8">
        <v>1554795</v>
      </c>
    </row>
    <row r="14" spans="1:5" ht="14.25" customHeight="1">
      <c r="A14" s="9"/>
      <c r="B14" s="6">
        <v>31797</v>
      </c>
      <c r="C14" s="6">
        <v>61260</v>
      </c>
      <c r="D14" s="6">
        <v>325600660</v>
      </c>
      <c r="E14" s="6">
        <v>156016135</v>
      </c>
    </row>
    <row r="15" spans="1:5" ht="14.25" customHeight="1"/>
    <row r="16" spans="1:5" ht="14.25" customHeight="1"/>
    <row r="17" spans="1:10" ht="14.25" customHeight="1"/>
    <row r="18" spans="1:10" ht="14.25" customHeight="1">
      <c r="A18" s="10" t="s">
        <v>0</v>
      </c>
      <c r="B18" s="10" t="s">
        <v>5</v>
      </c>
      <c r="C18" s="10" t="s">
        <v>6</v>
      </c>
      <c r="D18" s="10" t="s">
        <v>7</v>
      </c>
      <c r="E18" s="10" t="s">
        <v>8</v>
      </c>
      <c r="F18" s="11" t="s">
        <v>9</v>
      </c>
      <c r="G18" s="11" t="s">
        <v>10</v>
      </c>
      <c r="H18" s="11" t="s">
        <v>11</v>
      </c>
      <c r="I18" s="11" t="s">
        <v>12</v>
      </c>
      <c r="J18" s="11" t="s">
        <v>13</v>
      </c>
    </row>
    <row r="19" spans="1:10" ht="14.25" customHeight="1">
      <c r="A19" s="12">
        <v>1</v>
      </c>
      <c r="B19" s="13">
        <f t="shared" ref="B19:B28" si="0">B4/$B$14</f>
        <v>0.10000943485234456</v>
      </c>
      <c r="C19" s="13">
        <f t="shared" ref="C19:C27" si="1">C4/$C$14</f>
        <v>0.28571661769507017</v>
      </c>
      <c r="D19" s="13">
        <f t="shared" ref="D19:D27" si="2">D4/$D$14</f>
        <v>0.39604497423316032</v>
      </c>
      <c r="E19" s="13">
        <f t="shared" ref="E19:E28" si="3">E4/$E$14</f>
        <v>0.39842145172997651</v>
      </c>
      <c r="F19" s="14">
        <f t="shared" ref="F19:F29" si="4">D4/B4</f>
        <v>40551.102201257861</v>
      </c>
      <c r="G19" s="14">
        <f t="shared" ref="G19:G29" si="5">E4/B4</f>
        <v>19547.224842767297</v>
      </c>
      <c r="H19" s="15">
        <f t="shared" ref="H19:J19" si="6">C4/B4</f>
        <v>5.5040880503144658</v>
      </c>
      <c r="I19" s="16">
        <f t="shared" si="6"/>
        <v>7367.4515797291897</v>
      </c>
      <c r="J19" s="17">
        <f t="shared" si="6"/>
        <v>0.48203929811212276</v>
      </c>
    </row>
    <row r="20" spans="1:10" ht="14.25" customHeight="1">
      <c r="A20" s="10">
        <v>2</v>
      </c>
      <c r="B20" s="17">
        <f t="shared" si="0"/>
        <v>0.10000943485234456</v>
      </c>
      <c r="C20" s="17">
        <f t="shared" si="1"/>
        <v>0.14206660137120469</v>
      </c>
      <c r="D20" s="17">
        <f t="shared" si="2"/>
        <v>0.17058597178519233</v>
      </c>
      <c r="E20" s="17">
        <f t="shared" si="3"/>
        <v>0.17356557384273108</v>
      </c>
      <c r="F20" s="14">
        <f t="shared" si="4"/>
        <v>17466.322327044025</v>
      </c>
      <c r="G20" s="14">
        <f t="shared" si="5"/>
        <v>8515.4182389937105</v>
      </c>
      <c r="H20" s="15">
        <f t="shared" ref="H20:J20" si="7">C5/B5</f>
        <v>2.7367924528301888</v>
      </c>
      <c r="I20" s="16">
        <f t="shared" si="7"/>
        <v>6382.0412501436285</v>
      </c>
      <c r="J20" s="17">
        <f t="shared" si="7"/>
        <v>0.48753355626609735</v>
      </c>
    </row>
    <row r="21" spans="1:10" ht="14.25" customHeight="1">
      <c r="A21" s="10">
        <v>3</v>
      </c>
      <c r="B21" s="17">
        <f t="shared" si="0"/>
        <v>9.991508632889895E-2</v>
      </c>
      <c r="C21" s="17">
        <f t="shared" si="1"/>
        <v>0.10357492654260529</v>
      </c>
      <c r="D21" s="17">
        <f t="shared" si="2"/>
        <v>0.11754959280487945</v>
      </c>
      <c r="E21" s="17">
        <f t="shared" si="3"/>
        <v>0.12000076145970415</v>
      </c>
      <c r="F21" s="14">
        <f t="shared" si="4"/>
        <v>12047.285174693106</v>
      </c>
      <c r="G21" s="14">
        <f t="shared" si="5"/>
        <v>5892.9981114258735</v>
      </c>
      <c r="H21" s="15">
        <f t="shared" ref="H21:J21" si="8">C6/B6</f>
        <v>1.9971671388101984</v>
      </c>
      <c r="I21" s="16">
        <f t="shared" si="8"/>
        <v>6032.1867612293145</v>
      </c>
      <c r="J21" s="17">
        <f t="shared" si="8"/>
        <v>0.48915569159140387</v>
      </c>
    </row>
    <row r="22" spans="1:10" ht="14.25" customHeight="1">
      <c r="A22" s="10">
        <v>4</v>
      </c>
      <c r="B22" s="17">
        <f t="shared" si="0"/>
        <v>9.9946535836714159E-2</v>
      </c>
      <c r="C22" s="17">
        <f t="shared" si="1"/>
        <v>8.7316356513222337E-2</v>
      </c>
      <c r="D22" s="17">
        <f t="shared" si="2"/>
        <v>8.9118400435674788E-2</v>
      </c>
      <c r="E22" s="17">
        <f t="shared" si="3"/>
        <v>8.9199716426765732E-2</v>
      </c>
      <c r="F22" s="14">
        <f t="shared" si="4"/>
        <v>9130.5884203901824</v>
      </c>
      <c r="G22" s="14">
        <f t="shared" si="5"/>
        <v>4379.0418502202647</v>
      </c>
      <c r="H22" s="15">
        <f t="shared" ref="H22:J22" si="9">C7/B7</f>
        <v>1.6831340465701699</v>
      </c>
      <c r="I22" s="16">
        <f t="shared" si="9"/>
        <v>5424.7541596560104</v>
      </c>
      <c r="J22" s="17">
        <f t="shared" si="9"/>
        <v>0.47960127525199875</v>
      </c>
    </row>
    <row r="23" spans="1:10" ht="14.25" customHeight="1">
      <c r="A23" s="10">
        <v>5</v>
      </c>
      <c r="B23" s="17">
        <f t="shared" si="0"/>
        <v>0.10010378337579016</v>
      </c>
      <c r="C23" s="17">
        <f t="shared" si="1"/>
        <v>7.6444662095984328E-2</v>
      </c>
      <c r="D23" s="17">
        <f t="shared" si="2"/>
        <v>6.9272663636492635E-2</v>
      </c>
      <c r="E23" s="17">
        <f t="shared" si="3"/>
        <v>6.880317218472308E-2</v>
      </c>
      <c r="F23" s="14">
        <f t="shared" si="4"/>
        <v>7086.1530003141688</v>
      </c>
      <c r="G23" s="14">
        <f t="shared" si="5"/>
        <v>3372.4175306314796</v>
      </c>
      <c r="H23" s="15">
        <f t="shared" ref="H23:J23" si="10">C8/B8</f>
        <v>1.4712535344015081</v>
      </c>
      <c r="I23" s="16">
        <f t="shared" si="10"/>
        <v>4816.4050822122572</v>
      </c>
      <c r="J23" s="17">
        <f t="shared" si="10"/>
        <v>0.47591655591996979</v>
      </c>
    </row>
    <row r="24" spans="1:10" ht="14.25" customHeight="1">
      <c r="A24" s="10">
        <v>6</v>
      </c>
      <c r="B24" s="17">
        <f t="shared" si="0"/>
        <v>9.8248262414693213E-2</v>
      </c>
      <c r="C24" s="17">
        <f t="shared" si="1"/>
        <v>7.0682337577538362E-2</v>
      </c>
      <c r="D24" s="17">
        <f t="shared" si="2"/>
        <v>5.273317013546594E-2</v>
      </c>
      <c r="E24" s="17">
        <f t="shared" si="3"/>
        <v>5.0945179484160406E-2</v>
      </c>
      <c r="F24" s="14">
        <f t="shared" si="4"/>
        <v>5496.1443661971834</v>
      </c>
      <c r="G24" s="14">
        <f t="shared" si="5"/>
        <v>2544.2605633802818</v>
      </c>
      <c r="H24" s="15">
        <f t="shared" ref="H24:J24" si="11">C9/B9</f>
        <v>1.3860435339308579</v>
      </c>
      <c r="I24" s="16">
        <f t="shared" si="11"/>
        <v>3965.3475750577368</v>
      </c>
      <c r="J24" s="17">
        <f t="shared" si="11"/>
        <v>0.46291734602682416</v>
      </c>
    </row>
    <row r="25" spans="1:10" ht="14.25" customHeight="1">
      <c r="A25" s="10">
        <v>7</v>
      </c>
      <c r="B25" s="17">
        <f t="shared" si="0"/>
        <v>0.1016762587665503</v>
      </c>
      <c r="C25" s="17">
        <f t="shared" si="1"/>
        <v>6.5360757427358793E-2</v>
      </c>
      <c r="D25" s="17">
        <f t="shared" si="2"/>
        <v>4.1371875597549464E-2</v>
      </c>
      <c r="E25" s="17">
        <f t="shared" si="3"/>
        <v>3.999602348821165E-2</v>
      </c>
      <c r="F25" s="14">
        <f t="shared" si="4"/>
        <v>4166.6285184039589</v>
      </c>
      <c r="G25" s="14">
        <f t="shared" si="5"/>
        <v>1930.1036189297865</v>
      </c>
      <c r="H25" s="15">
        <f t="shared" ref="H25:J25" si="12">C10/B10</f>
        <v>1.238478193628209</v>
      </c>
      <c r="I25" s="16">
        <f t="shared" si="12"/>
        <v>3364.3131868131868</v>
      </c>
      <c r="J25" s="17">
        <f t="shared" si="12"/>
        <v>0.4632291096757335</v>
      </c>
    </row>
    <row r="26" spans="1:10" ht="14.25" customHeight="1">
      <c r="A26" s="10">
        <v>8</v>
      </c>
      <c r="B26" s="17">
        <f t="shared" si="0"/>
        <v>9.4222725414347272E-2</v>
      </c>
      <c r="C26" s="17">
        <f t="shared" si="1"/>
        <v>5.5729676787463274E-2</v>
      </c>
      <c r="D26" s="17">
        <f t="shared" si="2"/>
        <v>2.8811597003519589E-2</v>
      </c>
      <c r="E26" s="17">
        <f t="shared" si="3"/>
        <v>2.7732291919678694E-2</v>
      </c>
      <c r="F26" s="14">
        <f t="shared" si="4"/>
        <v>3131.1999332443256</v>
      </c>
      <c r="G26" s="14">
        <f t="shared" si="5"/>
        <v>1444.1538718291056</v>
      </c>
      <c r="H26" s="15">
        <f t="shared" ref="H26:J26" si="13">C11/B11</f>
        <v>1.1395193591455273</v>
      </c>
      <c r="I26" s="16">
        <f t="shared" si="13"/>
        <v>2747.8251318101934</v>
      </c>
      <c r="J26" s="17">
        <f t="shared" si="13"/>
        <v>0.46121419986515405</v>
      </c>
    </row>
    <row r="27" spans="1:10" ht="14.25" customHeight="1">
      <c r="A27" s="10">
        <v>9</v>
      </c>
      <c r="B27" s="17">
        <f t="shared" si="0"/>
        <v>0.10567034625908105</v>
      </c>
      <c r="C27" s="17">
        <f t="shared" si="1"/>
        <v>5.972902383284362E-2</v>
      </c>
      <c r="D27" s="17">
        <f t="shared" si="2"/>
        <v>2.3023601979185179E-2</v>
      </c>
      <c r="E27" s="17">
        <f t="shared" si="3"/>
        <v>2.1370225585962632E-2</v>
      </c>
      <c r="F27" s="14">
        <f t="shared" si="4"/>
        <v>2231.1011904761904</v>
      </c>
      <c r="G27" s="14">
        <f t="shared" si="5"/>
        <v>992.29166666666663</v>
      </c>
      <c r="H27" s="15">
        <f t="shared" ref="H27:J27" si="14">C12/B12</f>
        <v>1.0889880952380953</v>
      </c>
      <c r="I27" s="16">
        <f t="shared" si="14"/>
        <v>2048.7838207160426</v>
      </c>
      <c r="J27" s="17">
        <f t="shared" si="14"/>
        <v>0.44475421863536319</v>
      </c>
    </row>
    <row r="28" spans="1:10" ht="14.25" customHeight="1">
      <c r="A28" s="18">
        <v>10</v>
      </c>
      <c r="B28" s="19">
        <f t="shared" si="0"/>
        <v>0.10019813189923578</v>
      </c>
      <c r="C28" s="19">
        <f t="shared" ref="C28:D28" si="15">C13/$D$14</f>
        <v>1.0042977185611355E-5</v>
      </c>
      <c r="D28" s="19">
        <f t="shared" si="15"/>
        <v>1.1488152388880292E-2</v>
      </c>
      <c r="E28" s="19">
        <f t="shared" si="3"/>
        <v>9.9656038780860708E-3</v>
      </c>
      <c r="F28" s="20">
        <f t="shared" si="4"/>
        <v>1174.0583804143125</v>
      </c>
      <c r="G28" s="20">
        <f t="shared" si="5"/>
        <v>488.00847457627117</v>
      </c>
      <c r="H28" s="21">
        <f t="shared" ref="H28:J28" si="16">C13/B13</f>
        <v>1.0263653483992468</v>
      </c>
      <c r="I28" s="22">
        <f t="shared" si="16"/>
        <v>1143.8990825688074</v>
      </c>
      <c r="J28" s="19">
        <f t="shared" si="16"/>
        <v>0.4156594618438465</v>
      </c>
    </row>
    <row r="29" spans="1:10" ht="14.25" customHeight="1">
      <c r="F29" s="14">
        <f t="shared" si="4"/>
        <v>10239.980501305154</v>
      </c>
      <c r="G29" s="14">
        <f t="shared" si="5"/>
        <v>4906.6306569802182</v>
      </c>
      <c r="H29" s="15">
        <f t="shared" ref="H29:J29" si="17">C14/B14</f>
        <v>1.926596848759317</v>
      </c>
      <c r="I29" s="16">
        <f t="shared" si="17"/>
        <v>5315.0613777342478</v>
      </c>
      <c r="J29" s="17">
        <f t="shared" si="17"/>
        <v>0.47916406250527871</v>
      </c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.75" customHeight="1"/>
  <cols>
    <col min="1" max="1" width="10.109375" customWidth="1"/>
    <col min="2" max="2" width="9.77734375" customWidth="1"/>
    <col min="3" max="3" width="14.33203125" customWidth="1"/>
    <col min="4" max="5" width="13.109375" customWidth="1"/>
    <col min="6" max="6" width="7.77734375" customWidth="1"/>
    <col min="7" max="7" width="13.88671875" customWidth="1"/>
    <col min="8" max="9" width="6.44140625" customWidth="1"/>
    <col min="10" max="10" width="14.77734375" customWidth="1"/>
    <col min="11" max="26" width="7.77734375" customWidth="1"/>
  </cols>
  <sheetData>
    <row r="1" spans="1:26" ht="14.25" customHeight="1">
      <c r="A1" s="1"/>
    </row>
    <row r="2" spans="1:26" ht="14.25" customHeight="1">
      <c r="A2" s="23"/>
    </row>
    <row r="3" spans="1:26" ht="14.25" customHeight="1">
      <c r="A3" s="24" t="s">
        <v>14</v>
      </c>
      <c r="B3" s="24" t="s">
        <v>1</v>
      </c>
      <c r="C3" s="24" t="s">
        <v>2</v>
      </c>
      <c r="D3" s="24" t="s">
        <v>3</v>
      </c>
      <c r="E3" s="24" t="s">
        <v>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4.25" customHeight="1">
      <c r="A4" s="26" t="s">
        <v>15</v>
      </c>
      <c r="B4" s="5">
        <v>2943</v>
      </c>
      <c r="C4" s="5">
        <v>3683</v>
      </c>
      <c r="D4" s="5">
        <v>21803980</v>
      </c>
      <c r="E4" s="5">
        <v>10398135</v>
      </c>
    </row>
    <row r="5" spans="1:26" ht="14.25" customHeight="1">
      <c r="A5" s="27" t="s">
        <v>16</v>
      </c>
      <c r="B5" s="6">
        <v>346</v>
      </c>
      <c r="C5" s="6">
        <v>513</v>
      </c>
      <c r="D5" s="6">
        <v>2765015</v>
      </c>
      <c r="E5" s="6">
        <v>1386330</v>
      </c>
    </row>
    <row r="6" spans="1:26" ht="14.25" customHeight="1">
      <c r="A6" s="27" t="s">
        <v>17</v>
      </c>
      <c r="B6" s="6">
        <v>313</v>
      </c>
      <c r="C6" s="6">
        <v>451</v>
      </c>
      <c r="D6" s="6">
        <v>2352130</v>
      </c>
      <c r="E6" s="6">
        <v>1173700</v>
      </c>
    </row>
    <row r="7" spans="1:26" ht="14.25" customHeight="1">
      <c r="A7" s="27" t="s">
        <v>18</v>
      </c>
      <c r="B7" s="6">
        <v>485</v>
      </c>
      <c r="C7" s="6">
        <v>819</v>
      </c>
      <c r="D7" s="6">
        <v>4692930</v>
      </c>
      <c r="E7" s="6">
        <v>2335300</v>
      </c>
    </row>
    <row r="8" spans="1:26" ht="14.25" customHeight="1">
      <c r="A8" s="27" t="s">
        <v>19</v>
      </c>
      <c r="B8" s="6">
        <v>296</v>
      </c>
      <c r="C8" s="6">
        <v>435</v>
      </c>
      <c r="D8" s="6">
        <v>2411530</v>
      </c>
      <c r="E8" s="6">
        <v>1161600</v>
      </c>
    </row>
    <row r="9" spans="1:26" ht="14.25" customHeight="1">
      <c r="A9" s="27" t="s">
        <v>20</v>
      </c>
      <c r="B9" s="6">
        <v>286</v>
      </c>
      <c r="C9" s="6">
        <v>453</v>
      </c>
      <c r="D9" s="6">
        <v>2186470</v>
      </c>
      <c r="E9" s="6">
        <v>1074425</v>
      </c>
    </row>
    <row r="10" spans="1:26" ht="14.25" customHeight="1">
      <c r="A10" s="27" t="s">
        <v>21</v>
      </c>
      <c r="B10" s="6">
        <v>245</v>
      </c>
      <c r="C10" s="6">
        <v>396</v>
      </c>
      <c r="D10" s="6">
        <v>2040280</v>
      </c>
      <c r="E10" s="6">
        <v>988295</v>
      </c>
    </row>
    <row r="11" spans="1:26" ht="14.25" customHeight="1">
      <c r="A11" s="27" t="s">
        <v>22</v>
      </c>
      <c r="B11" s="6">
        <v>420</v>
      </c>
      <c r="C11" s="6">
        <v>808</v>
      </c>
      <c r="D11" s="6">
        <v>4619175</v>
      </c>
      <c r="E11" s="6">
        <v>2215950</v>
      </c>
    </row>
    <row r="12" spans="1:26" ht="14.25" customHeight="1">
      <c r="A12" s="27" t="s">
        <v>23</v>
      </c>
      <c r="B12" s="6">
        <v>312</v>
      </c>
      <c r="C12" s="6">
        <v>481</v>
      </c>
      <c r="D12" s="6">
        <v>2391565</v>
      </c>
      <c r="E12" s="6">
        <v>1101815</v>
      </c>
    </row>
    <row r="13" spans="1:26" ht="14.25" customHeight="1">
      <c r="A13" s="27" t="s">
        <v>24</v>
      </c>
      <c r="B13" s="6">
        <v>281</v>
      </c>
      <c r="C13" s="6">
        <v>462</v>
      </c>
      <c r="D13" s="6">
        <v>2061895</v>
      </c>
      <c r="E13" s="6">
        <v>960080</v>
      </c>
    </row>
    <row r="14" spans="1:26" ht="14.25" customHeight="1">
      <c r="A14" s="27" t="s">
        <v>25</v>
      </c>
      <c r="B14" s="6">
        <v>220</v>
      </c>
      <c r="C14" s="6">
        <v>384</v>
      </c>
      <c r="D14" s="6">
        <v>1826220</v>
      </c>
      <c r="E14" s="6">
        <v>838310</v>
      </c>
    </row>
    <row r="15" spans="1:26" ht="14.25" customHeight="1">
      <c r="A15" s="27" t="s">
        <v>26</v>
      </c>
      <c r="B15" s="6">
        <v>358</v>
      </c>
      <c r="C15" s="6">
        <v>722</v>
      </c>
      <c r="D15" s="6">
        <v>3652880</v>
      </c>
      <c r="E15" s="6">
        <v>1726835</v>
      </c>
    </row>
    <row r="16" spans="1:26" ht="14.25" customHeight="1">
      <c r="A16" s="27" t="s">
        <v>27</v>
      </c>
      <c r="B16" s="6">
        <v>244</v>
      </c>
      <c r="C16" s="6">
        <v>397</v>
      </c>
      <c r="D16" s="6">
        <v>1945185</v>
      </c>
      <c r="E16" s="6">
        <v>908215</v>
      </c>
    </row>
    <row r="17" spans="1:10" ht="14.25" customHeight="1">
      <c r="A17" s="27" t="s">
        <v>28</v>
      </c>
      <c r="B17" s="6">
        <v>236</v>
      </c>
      <c r="C17" s="6">
        <v>390</v>
      </c>
      <c r="D17" s="6">
        <v>1882925</v>
      </c>
      <c r="E17" s="6">
        <v>884840</v>
      </c>
    </row>
    <row r="18" spans="1:10" ht="14.25" customHeight="1">
      <c r="A18" s="27" t="s">
        <v>29</v>
      </c>
      <c r="B18" s="6">
        <v>201</v>
      </c>
      <c r="C18" s="6">
        <v>338</v>
      </c>
      <c r="D18" s="6">
        <v>1504580</v>
      </c>
      <c r="E18" s="6">
        <v>703560</v>
      </c>
    </row>
    <row r="19" spans="1:10" ht="14.25" customHeight="1">
      <c r="A19" s="28" t="s">
        <v>30</v>
      </c>
      <c r="B19" s="8">
        <v>353</v>
      </c>
      <c r="C19" s="8">
        <v>657</v>
      </c>
      <c r="D19" s="8">
        <v>3447070</v>
      </c>
      <c r="E19" s="8">
        <v>1627065</v>
      </c>
    </row>
    <row r="20" spans="1:10" ht="14.25" customHeight="1">
      <c r="A20" s="23"/>
    </row>
    <row r="21" spans="1:10" ht="14.25" customHeight="1">
      <c r="A21" s="23"/>
    </row>
    <row r="22" spans="1:10" ht="14.25" customHeight="1">
      <c r="A22" s="23"/>
    </row>
    <row r="23" spans="1:10" ht="14.25" customHeight="1">
      <c r="A23" s="29" t="s">
        <v>14</v>
      </c>
      <c r="B23" s="29" t="s">
        <v>1</v>
      </c>
      <c r="C23" s="29" t="s">
        <v>2</v>
      </c>
      <c r="D23" s="29" t="s">
        <v>3</v>
      </c>
      <c r="E23" s="29" t="s">
        <v>4</v>
      </c>
      <c r="F23" s="29" t="s">
        <v>31</v>
      </c>
      <c r="G23" s="29" t="s">
        <v>32</v>
      </c>
      <c r="H23" s="29" t="s">
        <v>11</v>
      </c>
      <c r="I23" s="29" t="s">
        <v>12</v>
      </c>
      <c r="J23" s="25"/>
    </row>
    <row r="24" spans="1:10" ht="14.25" customHeight="1">
      <c r="A24" s="12" t="str">
        <f t="shared" ref="A24:E24" si="0">A4</f>
        <v>2021Q1</v>
      </c>
      <c r="B24" s="30">
        <f t="shared" si="0"/>
        <v>2943</v>
      </c>
      <c r="C24" s="31">
        <f t="shared" si="0"/>
        <v>3683</v>
      </c>
      <c r="D24" s="31">
        <f t="shared" si="0"/>
        <v>21803980</v>
      </c>
      <c r="E24" s="31">
        <f t="shared" si="0"/>
        <v>10398135</v>
      </c>
      <c r="F24" s="13">
        <f t="shared" ref="F24:F39" si="1">B4/$B$4</f>
        <v>1</v>
      </c>
      <c r="G24" s="32">
        <f t="shared" ref="G24:G39" si="2">D4/B4</f>
        <v>7408.759768943255</v>
      </c>
      <c r="H24" s="33">
        <f t="shared" ref="H24:I24" si="3">C4/B4</f>
        <v>1.2514441046551139</v>
      </c>
      <c r="I24" s="32">
        <f t="shared" si="3"/>
        <v>5920.1683410263377</v>
      </c>
    </row>
    <row r="25" spans="1:10" ht="14.25" customHeight="1">
      <c r="A25" s="10" t="str">
        <f t="shared" ref="A25:E25" si="4">A5</f>
        <v>2021Q2</v>
      </c>
      <c r="B25" s="34">
        <f t="shared" si="4"/>
        <v>346</v>
      </c>
      <c r="C25" s="35">
        <f t="shared" si="4"/>
        <v>513</v>
      </c>
      <c r="D25" s="35">
        <f t="shared" si="4"/>
        <v>2765015</v>
      </c>
      <c r="E25" s="35">
        <f t="shared" si="4"/>
        <v>1386330</v>
      </c>
      <c r="F25" s="17">
        <f t="shared" si="1"/>
        <v>0.11756710839279647</v>
      </c>
      <c r="G25" s="36">
        <f t="shared" si="2"/>
        <v>7991.3728323699424</v>
      </c>
      <c r="H25" s="15">
        <f t="shared" ref="H25:I25" si="5">C5/B5</f>
        <v>1.4826589595375723</v>
      </c>
      <c r="I25" s="36">
        <f t="shared" si="5"/>
        <v>5389.8927875243662</v>
      </c>
    </row>
    <row r="26" spans="1:10" ht="14.25" customHeight="1">
      <c r="A26" s="10" t="str">
        <f t="shared" ref="A26:E26" si="6">A6</f>
        <v>2021Q3</v>
      </c>
      <c r="B26" s="34">
        <f t="shared" si="6"/>
        <v>313</v>
      </c>
      <c r="C26" s="35">
        <f t="shared" si="6"/>
        <v>451</v>
      </c>
      <c r="D26" s="35">
        <f t="shared" si="6"/>
        <v>2352130</v>
      </c>
      <c r="E26" s="35">
        <f t="shared" si="6"/>
        <v>1173700</v>
      </c>
      <c r="F26" s="17">
        <f t="shared" si="1"/>
        <v>0.10635406048250085</v>
      </c>
      <c r="G26" s="36">
        <f t="shared" si="2"/>
        <v>7514.792332268371</v>
      </c>
      <c r="H26" s="15">
        <f t="shared" ref="H26:I26" si="7">C6/B6</f>
        <v>1.4408945686900958</v>
      </c>
      <c r="I26" s="36">
        <f t="shared" si="7"/>
        <v>5215.3658536585363</v>
      </c>
    </row>
    <row r="27" spans="1:10" ht="14.25" customHeight="1">
      <c r="A27" s="10" t="str">
        <f t="shared" ref="A27:E27" si="8">A7</f>
        <v>2021Q4</v>
      </c>
      <c r="B27" s="34">
        <f t="shared" si="8"/>
        <v>485</v>
      </c>
      <c r="C27" s="35">
        <f t="shared" si="8"/>
        <v>819</v>
      </c>
      <c r="D27" s="35">
        <f t="shared" si="8"/>
        <v>4692930</v>
      </c>
      <c r="E27" s="35">
        <f t="shared" si="8"/>
        <v>2335300</v>
      </c>
      <c r="F27" s="17">
        <f t="shared" si="1"/>
        <v>0.16479782534828408</v>
      </c>
      <c r="G27" s="36">
        <f t="shared" si="2"/>
        <v>9676.1443298969079</v>
      </c>
      <c r="H27" s="15">
        <f t="shared" ref="H27:I27" si="9">C7/B7</f>
        <v>1.688659793814433</v>
      </c>
      <c r="I27" s="36">
        <f t="shared" si="9"/>
        <v>5730.0732600732599</v>
      </c>
    </row>
    <row r="28" spans="1:10" ht="14.25" customHeight="1">
      <c r="A28" s="10" t="str">
        <f t="shared" ref="A28:E28" si="10">A8</f>
        <v>2022Q1</v>
      </c>
      <c r="B28" s="34">
        <f t="shared" si="10"/>
        <v>296</v>
      </c>
      <c r="C28" s="35">
        <f t="shared" si="10"/>
        <v>435</v>
      </c>
      <c r="D28" s="35">
        <f t="shared" si="10"/>
        <v>2411530</v>
      </c>
      <c r="E28" s="35">
        <f t="shared" si="10"/>
        <v>1161600</v>
      </c>
      <c r="F28" s="17">
        <f t="shared" si="1"/>
        <v>0.10057764186204553</v>
      </c>
      <c r="G28" s="36">
        <f t="shared" si="2"/>
        <v>8147.0608108108108</v>
      </c>
      <c r="H28" s="15">
        <f t="shared" ref="H28:I28" si="11">C8/B8</f>
        <v>1.4695945945945945</v>
      </c>
      <c r="I28" s="36">
        <f t="shared" si="11"/>
        <v>5543.7471264367814</v>
      </c>
    </row>
    <row r="29" spans="1:10" ht="14.25" customHeight="1">
      <c r="A29" s="10" t="str">
        <f t="shared" ref="A29:E29" si="12">A9</f>
        <v>2022Q2</v>
      </c>
      <c r="B29" s="34">
        <f t="shared" si="12"/>
        <v>286</v>
      </c>
      <c r="C29" s="35">
        <f t="shared" si="12"/>
        <v>453</v>
      </c>
      <c r="D29" s="35">
        <f t="shared" si="12"/>
        <v>2186470</v>
      </c>
      <c r="E29" s="35">
        <f t="shared" si="12"/>
        <v>1074425</v>
      </c>
      <c r="F29" s="17">
        <f t="shared" si="1"/>
        <v>9.717974855589534E-2</v>
      </c>
      <c r="G29" s="36">
        <f t="shared" si="2"/>
        <v>7645</v>
      </c>
      <c r="H29" s="15">
        <f t="shared" ref="H29:I29" si="13">C9/B9</f>
        <v>1.583916083916084</v>
      </c>
      <c r="I29" s="36">
        <f t="shared" si="13"/>
        <v>4826.644591611479</v>
      </c>
    </row>
    <row r="30" spans="1:10" ht="14.25" customHeight="1">
      <c r="A30" s="10" t="str">
        <f t="shared" ref="A30:E30" si="14">A10</f>
        <v>2022Q3</v>
      </c>
      <c r="B30" s="34">
        <f t="shared" si="14"/>
        <v>245</v>
      </c>
      <c r="C30" s="35">
        <f t="shared" si="14"/>
        <v>396</v>
      </c>
      <c r="D30" s="35">
        <f t="shared" si="14"/>
        <v>2040280</v>
      </c>
      <c r="E30" s="35">
        <f t="shared" si="14"/>
        <v>988295</v>
      </c>
      <c r="F30" s="17">
        <f t="shared" si="1"/>
        <v>8.3248386000679575E-2</v>
      </c>
      <c r="G30" s="36">
        <f t="shared" si="2"/>
        <v>8327.6734693877552</v>
      </c>
      <c r="H30" s="15">
        <f t="shared" ref="H30:I30" si="15">C10/B10</f>
        <v>1.616326530612245</v>
      </c>
      <c r="I30" s="36">
        <f t="shared" si="15"/>
        <v>5152.2222222222226</v>
      </c>
    </row>
    <row r="31" spans="1:10" ht="14.25" customHeight="1">
      <c r="A31" s="10" t="str">
        <f t="shared" ref="A31:E31" si="16">A11</f>
        <v>2022Q4</v>
      </c>
      <c r="B31" s="34">
        <f t="shared" si="16"/>
        <v>420</v>
      </c>
      <c r="C31" s="35">
        <f t="shared" si="16"/>
        <v>808</v>
      </c>
      <c r="D31" s="35">
        <f t="shared" si="16"/>
        <v>4619175</v>
      </c>
      <c r="E31" s="35">
        <f t="shared" si="16"/>
        <v>2215950</v>
      </c>
      <c r="F31" s="17">
        <f t="shared" si="1"/>
        <v>0.14271151885830785</v>
      </c>
      <c r="G31" s="36">
        <f t="shared" si="2"/>
        <v>10998.035714285714</v>
      </c>
      <c r="H31" s="15">
        <f t="shared" ref="H31:I31" si="17">C11/B11</f>
        <v>1.9238095238095239</v>
      </c>
      <c r="I31" s="36">
        <f t="shared" si="17"/>
        <v>5716.8007425742571</v>
      </c>
    </row>
    <row r="32" spans="1:10" ht="14.25" customHeight="1">
      <c r="A32" s="10" t="str">
        <f t="shared" ref="A32:E32" si="18">A12</f>
        <v>2023Q1</v>
      </c>
      <c r="B32" s="34">
        <f t="shared" si="18"/>
        <v>312</v>
      </c>
      <c r="C32" s="35">
        <f t="shared" si="18"/>
        <v>481</v>
      </c>
      <c r="D32" s="35">
        <f t="shared" si="18"/>
        <v>2391565</v>
      </c>
      <c r="E32" s="35">
        <f t="shared" si="18"/>
        <v>1101815</v>
      </c>
      <c r="F32" s="17">
        <f t="shared" si="1"/>
        <v>0.10601427115188583</v>
      </c>
      <c r="G32" s="36">
        <f t="shared" si="2"/>
        <v>7665.2724358974356</v>
      </c>
      <c r="H32" s="15">
        <f t="shared" ref="H32:I32" si="19">C12/B12</f>
        <v>1.5416666666666667</v>
      </c>
      <c r="I32" s="36">
        <f t="shared" si="19"/>
        <v>4972.068607068607</v>
      </c>
    </row>
    <row r="33" spans="1:26" ht="14.25" customHeight="1">
      <c r="A33" s="10" t="str">
        <f t="shared" ref="A33:E33" si="20">A13</f>
        <v>2023Q2</v>
      </c>
      <c r="B33" s="34">
        <f t="shared" si="20"/>
        <v>281</v>
      </c>
      <c r="C33" s="35">
        <f t="shared" si="20"/>
        <v>462</v>
      </c>
      <c r="D33" s="35">
        <f t="shared" si="20"/>
        <v>2061895</v>
      </c>
      <c r="E33" s="35">
        <f t="shared" si="20"/>
        <v>960080</v>
      </c>
      <c r="F33" s="17">
        <f t="shared" si="1"/>
        <v>9.5480801902820253E-2</v>
      </c>
      <c r="G33" s="36">
        <f t="shared" si="2"/>
        <v>7337.7046263345192</v>
      </c>
      <c r="H33" s="15">
        <f t="shared" ref="H33:I33" si="21">C13/B13</f>
        <v>1.6441281138790036</v>
      </c>
      <c r="I33" s="36">
        <f t="shared" si="21"/>
        <v>4462.9761904761908</v>
      </c>
    </row>
    <row r="34" spans="1:26" ht="14.25" customHeight="1">
      <c r="A34" s="10" t="str">
        <f t="shared" ref="A34:E34" si="22">A14</f>
        <v>2023Q3</v>
      </c>
      <c r="B34" s="34">
        <f t="shared" si="22"/>
        <v>220</v>
      </c>
      <c r="C34" s="35">
        <f t="shared" si="22"/>
        <v>384</v>
      </c>
      <c r="D34" s="35">
        <f t="shared" si="22"/>
        <v>1826220</v>
      </c>
      <c r="E34" s="35">
        <f t="shared" si="22"/>
        <v>838310</v>
      </c>
      <c r="F34" s="17">
        <f t="shared" si="1"/>
        <v>7.4753652735304113E-2</v>
      </c>
      <c r="G34" s="36">
        <f t="shared" si="2"/>
        <v>8301</v>
      </c>
      <c r="H34" s="15">
        <f t="shared" ref="H34:I34" si="23">C14/B14</f>
        <v>1.7454545454545454</v>
      </c>
      <c r="I34" s="36">
        <f t="shared" si="23"/>
        <v>4755.78125</v>
      </c>
    </row>
    <row r="35" spans="1:26" ht="14.25" customHeight="1">
      <c r="A35" s="10" t="str">
        <f t="shared" ref="A35:E35" si="24">A15</f>
        <v>2023Q4</v>
      </c>
      <c r="B35" s="34">
        <f t="shared" si="24"/>
        <v>358</v>
      </c>
      <c r="C35" s="35">
        <f t="shared" si="24"/>
        <v>722</v>
      </c>
      <c r="D35" s="35">
        <f t="shared" si="24"/>
        <v>3652880</v>
      </c>
      <c r="E35" s="35">
        <f t="shared" si="24"/>
        <v>1726835</v>
      </c>
      <c r="F35" s="17">
        <f t="shared" si="1"/>
        <v>0.1216445803601767</v>
      </c>
      <c r="G35" s="36">
        <f t="shared" si="2"/>
        <v>10203.575418994413</v>
      </c>
      <c r="H35" s="15">
        <f t="shared" ref="H35:I35" si="25">C15/B15</f>
        <v>2.016759776536313</v>
      </c>
      <c r="I35" s="36">
        <f t="shared" si="25"/>
        <v>5059.3905817174518</v>
      </c>
    </row>
    <row r="36" spans="1:26" ht="14.25" customHeight="1">
      <c r="A36" s="10" t="str">
        <f t="shared" ref="A36:E36" si="26">A16</f>
        <v>2024Q1</v>
      </c>
      <c r="B36" s="34">
        <f t="shared" si="26"/>
        <v>244</v>
      </c>
      <c r="C36" s="35">
        <f t="shared" si="26"/>
        <v>397</v>
      </c>
      <c r="D36" s="35">
        <f t="shared" si="26"/>
        <v>1945185</v>
      </c>
      <c r="E36" s="35">
        <f t="shared" si="26"/>
        <v>908215</v>
      </c>
      <c r="F36" s="17">
        <f t="shared" si="1"/>
        <v>8.290859667006456E-2</v>
      </c>
      <c r="G36" s="36">
        <f t="shared" si="2"/>
        <v>7972.0696721311479</v>
      </c>
      <c r="H36" s="15">
        <f t="shared" ref="H36:I36" si="27">C16/B16</f>
        <v>1.6270491803278688</v>
      </c>
      <c r="I36" s="36">
        <f t="shared" si="27"/>
        <v>4899.7103274559195</v>
      </c>
    </row>
    <row r="37" spans="1:26" ht="14.25" customHeight="1">
      <c r="A37" s="10" t="str">
        <f t="shared" ref="A37:E37" si="28">A17</f>
        <v>2024Q2</v>
      </c>
      <c r="B37" s="34">
        <f t="shared" si="28"/>
        <v>236</v>
      </c>
      <c r="C37" s="35">
        <f t="shared" si="28"/>
        <v>390</v>
      </c>
      <c r="D37" s="35">
        <f t="shared" si="28"/>
        <v>1882925</v>
      </c>
      <c r="E37" s="35">
        <f t="shared" si="28"/>
        <v>884840</v>
      </c>
      <c r="F37" s="17">
        <f t="shared" si="1"/>
        <v>8.0190282025144416E-2</v>
      </c>
      <c r="G37" s="36">
        <f t="shared" si="2"/>
        <v>7978.4957627118647</v>
      </c>
      <c r="H37" s="15">
        <f t="shared" ref="H37:I37" si="29">C17/B17</f>
        <v>1.652542372881356</v>
      </c>
      <c r="I37" s="36">
        <f t="shared" si="29"/>
        <v>4828.0128205128203</v>
      </c>
    </row>
    <row r="38" spans="1:26" ht="14.25" customHeight="1">
      <c r="A38" s="10" t="str">
        <f t="shared" ref="A38:E38" si="30">A18</f>
        <v>2024Q3</v>
      </c>
      <c r="B38" s="34">
        <f t="shared" si="30"/>
        <v>201</v>
      </c>
      <c r="C38" s="35">
        <f t="shared" si="30"/>
        <v>338</v>
      </c>
      <c r="D38" s="35">
        <f t="shared" si="30"/>
        <v>1504580</v>
      </c>
      <c r="E38" s="35">
        <f t="shared" si="30"/>
        <v>703560</v>
      </c>
      <c r="F38" s="17">
        <f t="shared" si="1"/>
        <v>6.8297655453618752E-2</v>
      </c>
      <c r="G38" s="36">
        <f t="shared" si="2"/>
        <v>7485.4726368159209</v>
      </c>
      <c r="H38" s="15">
        <f t="shared" ref="H38:I38" si="31">C18/B18</f>
        <v>1.6815920398009949</v>
      </c>
      <c r="I38" s="36">
        <f t="shared" si="31"/>
        <v>4451.4201183431951</v>
      </c>
    </row>
    <row r="39" spans="1:26" ht="14.25" customHeight="1">
      <c r="A39" s="37" t="str">
        <f t="shared" ref="A39:E39" si="32">A19</f>
        <v>2024Q4</v>
      </c>
      <c r="B39" s="38">
        <f t="shared" si="32"/>
        <v>353</v>
      </c>
      <c r="C39" s="39">
        <f t="shared" si="32"/>
        <v>657</v>
      </c>
      <c r="D39" s="39">
        <f t="shared" si="32"/>
        <v>3447070</v>
      </c>
      <c r="E39" s="39">
        <f t="shared" si="32"/>
        <v>1627065</v>
      </c>
      <c r="F39" s="40">
        <f t="shared" si="1"/>
        <v>0.1199456337071016</v>
      </c>
      <c r="G39" s="41">
        <f t="shared" si="2"/>
        <v>9765.0708215297454</v>
      </c>
      <c r="H39" s="42">
        <f t="shared" ref="H39:I39" si="33">C19/B19</f>
        <v>1.8611898016997168</v>
      </c>
      <c r="I39" s="41">
        <f t="shared" si="33"/>
        <v>5246.681887366819</v>
      </c>
    </row>
    <row r="40" spans="1:26" ht="14.25" customHeight="1">
      <c r="A40" s="23"/>
    </row>
    <row r="41" spans="1:26" ht="14.25" customHeight="1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4.25" customHeight="1">
      <c r="A42" s="23"/>
    </row>
    <row r="43" spans="1:26" ht="14.25" customHeight="1">
      <c r="A43" s="23"/>
    </row>
    <row r="44" spans="1:26" ht="14.25" customHeight="1">
      <c r="A44" s="23"/>
    </row>
    <row r="45" spans="1:26" ht="14.25" customHeight="1">
      <c r="A45" s="23"/>
    </row>
    <row r="46" spans="1:26" ht="14.25" customHeight="1">
      <c r="A46" s="23"/>
    </row>
    <row r="47" spans="1:26" ht="14.25" customHeight="1">
      <c r="A47" s="23"/>
    </row>
    <row r="48" spans="1:26" ht="14.25" customHeight="1">
      <c r="A48" s="23"/>
    </row>
    <row r="49" spans="1:1" ht="14.25" customHeight="1">
      <c r="A49" s="23"/>
    </row>
    <row r="50" spans="1:1" ht="14.25" customHeight="1">
      <c r="A50" s="23"/>
    </row>
    <row r="51" spans="1:1" ht="14.25" customHeight="1">
      <c r="A51" s="23"/>
    </row>
    <row r="52" spans="1:1" ht="14.25" customHeight="1">
      <c r="A52" s="23"/>
    </row>
    <row r="53" spans="1:1" ht="14.25" customHeight="1">
      <c r="A53" s="23"/>
    </row>
    <row r="54" spans="1:1" ht="14.25" customHeight="1">
      <c r="A54" s="23"/>
    </row>
    <row r="55" spans="1:1" ht="14.25" customHeight="1">
      <c r="A55" s="23"/>
    </row>
    <row r="56" spans="1:1" ht="14.25" customHeight="1">
      <c r="A56" s="23"/>
    </row>
    <row r="57" spans="1:1" ht="14.25" customHeight="1">
      <c r="A57" s="23"/>
    </row>
    <row r="58" spans="1:1" ht="14.25" customHeight="1">
      <c r="A58" s="23"/>
    </row>
    <row r="59" spans="1:1" ht="14.25" customHeight="1">
      <c r="A59" s="23"/>
    </row>
    <row r="60" spans="1:1" ht="14.25" customHeight="1">
      <c r="A60" s="23"/>
    </row>
    <row r="61" spans="1:1" ht="14.25" customHeight="1">
      <c r="A61" s="23"/>
    </row>
    <row r="62" spans="1:1" ht="14.25" customHeight="1">
      <c r="A62" s="23"/>
    </row>
    <row r="63" spans="1:1" ht="14.25" customHeight="1">
      <c r="A63" s="23"/>
    </row>
    <row r="64" spans="1:1" ht="14.25" customHeight="1">
      <c r="A64" s="23"/>
    </row>
    <row r="65" spans="1:1" ht="14.25" customHeight="1">
      <c r="A65" s="23"/>
    </row>
    <row r="66" spans="1:1" ht="14.25" customHeight="1">
      <c r="A66" s="23"/>
    </row>
    <row r="67" spans="1:1" ht="14.25" customHeight="1">
      <c r="A67" s="23"/>
    </row>
    <row r="68" spans="1:1" ht="14.25" customHeight="1">
      <c r="A68" s="23"/>
    </row>
    <row r="69" spans="1:1" ht="14.25" customHeight="1">
      <c r="A69" s="23"/>
    </row>
    <row r="70" spans="1:1" ht="14.25" customHeight="1">
      <c r="A70" s="23"/>
    </row>
    <row r="71" spans="1:1" ht="14.25" customHeight="1">
      <c r="A71" s="23"/>
    </row>
    <row r="72" spans="1:1" ht="14.25" customHeight="1">
      <c r="A72" s="23"/>
    </row>
    <row r="73" spans="1:1" ht="14.25" customHeight="1">
      <c r="A73" s="23"/>
    </row>
    <row r="74" spans="1:1" ht="14.25" customHeight="1">
      <c r="A74" s="23"/>
    </row>
    <row r="75" spans="1:1" ht="14.25" customHeight="1">
      <c r="A75" s="23"/>
    </row>
    <row r="76" spans="1:1" ht="14.25" customHeight="1">
      <c r="A76" s="23"/>
    </row>
    <row r="77" spans="1:1" ht="14.25" customHeight="1">
      <c r="A77" s="23"/>
    </row>
    <row r="78" spans="1:1" ht="14.25" customHeight="1">
      <c r="A78" s="23"/>
    </row>
    <row r="79" spans="1:1" ht="14.25" customHeight="1">
      <c r="A79" s="23"/>
    </row>
    <row r="80" spans="1:1" ht="14.25" customHeight="1">
      <c r="A80" s="23"/>
    </row>
    <row r="81" spans="1:1" ht="14.25" customHeight="1">
      <c r="A81" s="23"/>
    </row>
    <row r="82" spans="1:1" ht="14.25" customHeight="1">
      <c r="A82" s="23"/>
    </row>
    <row r="83" spans="1:1" ht="14.25" customHeight="1">
      <c r="A83" s="23"/>
    </row>
    <row r="84" spans="1:1" ht="14.25" customHeight="1">
      <c r="A84" s="23"/>
    </row>
    <row r="85" spans="1:1" ht="14.25" customHeight="1">
      <c r="A85" s="23"/>
    </row>
    <row r="86" spans="1:1" ht="14.25" customHeight="1">
      <c r="A86" s="23"/>
    </row>
    <row r="87" spans="1:1" ht="14.25" customHeight="1">
      <c r="A87" s="23"/>
    </row>
    <row r="88" spans="1:1" ht="14.25" customHeight="1">
      <c r="A88" s="23"/>
    </row>
    <row r="89" spans="1:1" ht="14.25" customHeight="1">
      <c r="A89" s="23"/>
    </row>
    <row r="90" spans="1:1" ht="14.25" customHeight="1">
      <c r="A90" s="23"/>
    </row>
    <row r="91" spans="1:1" ht="14.25" customHeight="1">
      <c r="A91" s="23"/>
    </row>
    <row r="92" spans="1:1" ht="14.25" customHeight="1">
      <c r="A92" s="23"/>
    </row>
    <row r="93" spans="1:1" ht="14.25" customHeight="1">
      <c r="A93" s="23"/>
    </row>
    <row r="94" spans="1:1" ht="14.25" customHeight="1">
      <c r="A94" s="23"/>
    </row>
    <row r="95" spans="1:1" ht="14.25" customHeight="1">
      <c r="A95" s="23"/>
    </row>
    <row r="96" spans="1:1" ht="14.25" customHeight="1">
      <c r="A96" s="23"/>
    </row>
    <row r="97" spans="1:1" ht="14.25" customHeight="1">
      <c r="A97" s="23"/>
    </row>
    <row r="98" spans="1:1" ht="14.25" customHeight="1">
      <c r="A98" s="23"/>
    </row>
    <row r="99" spans="1:1" ht="14.25" customHeight="1">
      <c r="A99" s="23"/>
    </row>
    <row r="100" spans="1:1" ht="14.25" customHeight="1">
      <c r="A100" s="23"/>
    </row>
    <row r="101" spans="1:1" ht="14.25" customHeight="1">
      <c r="A101" s="23"/>
    </row>
    <row r="102" spans="1:1" ht="14.25" customHeight="1">
      <c r="A102" s="23"/>
    </row>
    <row r="103" spans="1:1" ht="14.25" customHeight="1">
      <c r="A103" s="23"/>
    </row>
    <row r="104" spans="1:1" ht="14.25" customHeight="1">
      <c r="A104" s="23"/>
    </row>
    <row r="105" spans="1:1" ht="14.25" customHeight="1">
      <c r="A105" s="23"/>
    </row>
    <row r="106" spans="1:1" ht="14.25" customHeight="1">
      <c r="A106" s="23"/>
    </row>
    <row r="107" spans="1:1" ht="14.25" customHeight="1">
      <c r="A107" s="23"/>
    </row>
    <row r="108" spans="1:1" ht="14.25" customHeight="1">
      <c r="A108" s="23"/>
    </row>
    <row r="109" spans="1:1" ht="14.25" customHeight="1">
      <c r="A109" s="23"/>
    </row>
    <row r="110" spans="1:1" ht="14.25" customHeight="1">
      <c r="A110" s="23"/>
    </row>
    <row r="111" spans="1:1" ht="14.25" customHeight="1">
      <c r="A111" s="23"/>
    </row>
    <row r="112" spans="1:1" ht="14.25" customHeight="1">
      <c r="A112" s="23"/>
    </row>
    <row r="113" spans="1:1" ht="14.25" customHeight="1">
      <c r="A113" s="23"/>
    </row>
    <row r="114" spans="1:1" ht="14.25" customHeight="1">
      <c r="A114" s="23"/>
    </row>
    <row r="115" spans="1:1" ht="14.25" customHeight="1">
      <c r="A115" s="23"/>
    </row>
    <row r="116" spans="1:1" ht="14.25" customHeight="1">
      <c r="A116" s="23"/>
    </row>
    <row r="117" spans="1:1" ht="14.25" customHeight="1">
      <c r="A117" s="23"/>
    </row>
    <row r="118" spans="1:1" ht="14.25" customHeight="1">
      <c r="A118" s="23"/>
    </row>
    <row r="119" spans="1:1" ht="14.25" customHeight="1">
      <c r="A119" s="23"/>
    </row>
    <row r="120" spans="1:1" ht="14.25" customHeight="1">
      <c r="A120" s="23"/>
    </row>
    <row r="121" spans="1:1" ht="14.25" customHeight="1">
      <c r="A121" s="23"/>
    </row>
    <row r="122" spans="1:1" ht="14.25" customHeight="1">
      <c r="A122" s="23"/>
    </row>
    <row r="123" spans="1:1" ht="14.25" customHeight="1">
      <c r="A123" s="23"/>
    </row>
    <row r="124" spans="1:1" ht="14.25" customHeight="1">
      <c r="A124" s="23"/>
    </row>
    <row r="125" spans="1:1" ht="14.25" customHeight="1">
      <c r="A125" s="23"/>
    </row>
    <row r="126" spans="1:1" ht="14.25" customHeight="1">
      <c r="A126" s="23"/>
    </row>
    <row r="127" spans="1:1" ht="14.25" customHeight="1">
      <c r="A127" s="23"/>
    </row>
    <row r="128" spans="1:1" ht="14.25" customHeight="1">
      <c r="A128" s="23"/>
    </row>
    <row r="129" spans="1:1" ht="14.25" customHeight="1">
      <c r="A129" s="23"/>
    </row>
    <row r="130" spans="1:1" ht="14.25" customHeight="1">
      <c r="A130" s="23"/>
    </row>
    <row r="131" spans="1:1" ht="14.25" customHeight="1">
      <c r="A131" s="23"/>
    </row>
    <row r="132" spans="1:1" ht="14.25" customHeight="1">
      <c r="A132" s="23"/>
    </row>
    <row r="133" spans="1:1" ht="14.25" customHeight="1">
      <c r="A133" s="23"/>
    </row>
    <row r="134" spans="1:1" ht="14.25" customHeight="1">
      <c r="A134" s="23"/>
    </row>
    <row r="135" spans="1:1" ht="14.25" customHeight="1">
      <c r="A135" s="23"/>
    </row>
    <row r="136" spans="1:1" ht="14.25" customHeight="1">
      <c r="A136" s="23"/>
    </row>
    <row r="137" spans="1:1" ht="14.25" customHeight="1">
      <c r="A137" s="23"/>
    </row>
    <row r="138" spans="1:1" ht="14.25" customHeight="1">
      <c r="A138" s="23"/>
    </row>
    <row r="139" spans="1:1" ht="14.25" customHeight="1">
      <c r="A139" s="23"/>
    </row>
    <row r="140" spans="1:1" ht="14.25" customHeight="1">
      <c r="A140" s="23"/>
    </row>
    <row r="141" spans="1:1" ht="14.25" customHeight="1">
      <c r="A141" s="23"/>
    </row>
    <row r="142" spans="1:1" ht="14.25" customHeight="1">
      <c r="A142" s="23"/>
    </row>
    <row r="143" spans="1:1" ht="14.25" customHeight="1">
      <c r="A143" s="23"/>
    </row>
    <row r="144" spans="1:1" ht="14.25" customHeight="1">
      <c r="A144" s="23"/>
    </row>
    <row r="145" spans="1:1" ht="14.25" customHeight="1">
      <c r="A145" s="23"/>
    </row>
    <row r="146" spans="1:1" ht="14.25" customHeight="1">
      <c r="A146" s="23"/>
    </row>
    <row r="147" spans="1:1" ht="14.25" customHeight="1">
      <c r="A147" s="23"/>
    </row>
    <row r="148" spans="1:1" ht="14.25" customHeight="1">
      <c r="A148" s="23"/>
    </row>
    <row r="149" spans="1:1" ht="14.25" customHeight="1">
      <c r="A149" s="23"/>
    </row>
    <row r="150" spans="1:1" ht="14.25" customHeight="1">
      <c r="A150" s="23"/>
    </row>
    <row r="151" spans="1:1" ht="14.25" customHeight="1">
      <c r="A151" s="23"/>
    </row>
    <row r="152" spans="1:1" ht="14.25" customHeight="1">
      <c r="A152" s="23"/>
    </row>
    <row r="153" spans="1:1" ht="14.25" customHeight="1">
      <c r="A153" s="23"/>
    </row>
    <row r="154" spans="1:1" ht="14.25" customHeight="1">
      <c r="A154" s="23"/>
    </row>
    <row r="155" spans="1:1" ht="14.25" customHeight="1">
      <c r="A155" s="23"/>
    </row>
    <row r="156" spans="1:1" ht="14.25" customHeight="1">
      <c r="A156" s="23"/>
    </row>
    <row r="157" spans="1:1" ht="14.25" customHeight="1">
      <c r="A157" s="23"/>
    </row>
    <row r="158" spans="1:1" ht="14.25" customHeight="1">
      <c r="A158" s="23"/>
    </row>
    <row r="159" spans="1:1" ht="14.25" customHeight="1">
      <c r="A159" s="23"/>
    </row>
    <row r="160" spans="1:1" ht="14.25" customHeight="1">
      <c r="A160" s="23"/>
    </row>
    <row r="161" spans="1:1" ht="14.25" customHeight="1">
      <c r="A161" s="23"/>
    </row>
    <row r="162" spans="1:1" ht="14.25" customHeight="1">
      <c r="A162" s="23"/>
    </row>
    <row r="163" spans="1:1" ht="14.25" customHeight="1">
      <c r="A163" s="23"/>
    </row>
    <row r="164" spans="1:1" ht="14.25" customHeight="1">
      <c r="A164" s="23"/>
    </row>
    <row r="165" spans="1:1" ht="14.25" customHeight="1">
      <c r="A165" s="23"/>
    </row>
    <row r="166" spans="1:1" ht="14.25" customHeight="1">
      <c r="A166" s="23"/>
    </row>
    <row r="167" spans="1:1" ht="14.25" customHeight="1">
      <c r="A167" s="23"/>
    </row>
    <row r="168" spans="1:1" ht="14.25" customHeight="1">
      <c r="A168" s="23"/>
    </row>
    <row r="169" spans="1:1" ht="14.25" customHeight="1">
      <c r="A169" s="23"/>
    </row>
    <row r="170" spans="1:1" ht="14.25" customHeight="1">
      <c r="A170" s="23"/>
    </row>
    <row r="171" spans="1:1" ht="14.25" customHeight="1">
      <c r="A171" s="23"/>
    </row>
    <row r="172" spans="1:1" ht="14.25" customHeight="1">
      <c r="A172" s="23"/>
    </row>
    <row r="173" spans="1:1" ht="14.25" customHeight="1">
      <c r="A173" s="23"/>
    </row>
    <row r="174" spans="1:1" ht="14.25" customHeight="1">
      <c r="A174" s="23"/>
    </row>
    <row r="175" spans="1:1" ht="14.25" customHeight="1">
      <c r="A175" s="23"/>
    </row>
    <row r="176" spans="1:1" ht="14.25" customHeight="1">
      <c r="A176" s="23"/>
    </row>
    <row r="177" spans="1:1" ht="14.25" customHeight="1">
      <c r="A177" s="23"/>
    </row>
    <row r="178" spans="1:1" ht="14.25" customHeight="1">
      <c r="A178" s="23"/>
    </row>
    <row r="179" spans="1:1" ht="14.25" customHeight="1">
      <c r="A179" s="23"/>
    </row>
    <row r="180" spans="1:1" ht="14.25" customHeight="1">
      <c r="A180" s="23"/>
    </row>
    <row r="181" spans="1:1" ht="14.25" customHeight="1">
      <c r="A181" s="23"/>
    </row>
    <row r="182" spans="1:1" ht="14.25" customHeight="1">
      <c r="A182" s="23"/>
    </row>
    <row r="183" spans="1:1" ht="14.25" customHeight="1">
      <c r="A183" s="23"/>
    </row>
    <row r="184" spans="1:1" ht="14.25" customHeight="1">
      <c r="A184" s="23"/>
    </row>
    <row r="185" spans="1:1" ht="14.25" customHeight="1">
      <c r="A185" s="23"/>
    </row>
    <row r="186" spans="1:1" ht="14.25" customHeight="1">
      <c r="A186" s="23"/>
    </row>
    <row r="187" spans="1:1" ht="14.25" customHeight="1">
      <c r="A187" s="23"/>
    </row>
    <row r="188" spans="1:1" ht="14.25" customHeight="1">
      <c r="A188" s="23"/>
    </row>
    <row r="189" spans="1:1" ht="14.25" customHeight="1">
      <c r="A189" s="23"/>
    </row>
    <row r="190" spans="1:1" ht="14.25" customHeight="1">
      <c r="A190" s="23"/>
    </row>
    <row r="191" spans="1:1" ht="14.25" customHeight="1">
      <c r="A191" s="23"/>
    </row>
    <row r="192" spans="1:1" ht="14.25" customHeight="1">
      <c r="A192" s="23"/>
    </row>
    <row r="193" spans="1:1" ht="14.25" customHeight="1">
      <c r="A193" s="23"/>
    </row>
    <row r="194" spans="1:1" ht="14.25" customHeight="1">
      <c r="A194" s="23"/>
    </row>
    <row r="195" spans="1:1" ht="14.25" customHeight="1">
      <c r="A195" s="23"/>
    </row>
    <row r="196" spans="1:1" ht="14.25" customHeight="1">
      <c r="A196" s="23"/>
    </row>
    <row r="197" spans="1:1" ht="14.25" customHeight="1">
      <c r="A197" s="23"/>
    </row>
    <row r="198" spans="1:1" ht="14.25" customHeight="1">
      <c r="A198" s="23"/>
    </row>
    <row r="199" spans="1:1" ht="14.25" customHeight="1">
      <c r="A199" s="23"/>
    </row>
    <row r="200" spans="1:1" ht="14.25" customHeight="1">
      <c r="A200" s="23"/>
    </row>
    <row r="201" spans="1:1" ht="14.25" customHeight="1">
      <c r="A201" s="23"/>
    </row>
    <row r="202" spans="1:1" ht="14.25" customHeight="1">
      <c r="A202" s="23"/>
    </row>
    <row r="203" spans="1:1" ht="14.25" customHeight="1">
      <c r="A203" s="23"/>
    </row>
    <row r="204" spans="1:1" ht="14.25" customHeight="1">
      <c r="A204" s="23"/>
    </row>
    <row r="205" spans="1:1" ht="14.25" customHeight="1">
      <c r="A205" s="23"/>
    </row>
    <row r="206" spans="1:1" ht="14.25" customHeight="1">
      <c r="A206" s="23"/>
    </row>
    <row r="207" spans="1:1" ht="14.25" customHeight="1">
      <c r="A207" s="23"/>
    </row>
    <row r="208" spans="1:1" ht="14.25" customHeight="1">
      <c r="A208" s="23"/>
    </row>
    <row r="209" spans="1:1" ht="14.25" customHeight="1">
      <c r="A209" s="23"/>
    </row>
    <row r="210" spans="1:1" ht="14.25" customHeight="1">
      <c r="A210" s="23"/>
    </row>
    <row r="211" spans="1:1" ht="14.25" customHeight="1">
      <c r="A211" s="23"/>
    </row>
    <row r="212" spans="1:1" ht="14.25" customHeight="1">
      <c r="A212" s="23"/>
    </row>
    <row r="213" spans="1:1" ht="14.25" customHeight="1">
      <c r="A213" s="23"/>
    </row>
    <row r="214" spans="1:1" ht="14.25" customHeight="1">
      <c r="A214" s="23"/>
    </row>
    <row r="215" spans="1:1" ht="14.25" customHeight="1">
      <c r="A215" s="23"/>
    </row>
    <row r="216" spans="1:1" ht="14.25" customHeight="1">
      <c r="A216" s="23"/>
    </row>
    <row r="217" spans="1:1" ht="14.25" customHeight="1">
      <c r="A217" s="23"/>
    </row>
    <row r="218" spans="1:1" ht="14.25" customHeight="1">
      <c r="A218" s="23"/>
    </row>
    <row r="219" spans="1:1" ht="14.25" customHeight="1">
      <c r="A219" s="23"/>
    </row>
    <row r="220" spans="1:1" ht="14.25" customHeight="1">
      <c r="A220" s="23"/>
    </row>
    <row r="221" spans="1:1" ht="14.25" customHeight="1">
      <c r="A221" s="23"/>
    </row>
    <row r="222" spans="1:1" ht="14.25" customHeight="1">
      <c r="A222" s="23"/>
    </row>
    <row r="223" spans="1:1" ht="14.25" customHeight="1">
      <c r="A223" s="23"/>
    </row>
    <row r="224" spans="1:1" ht="14.25" customHeight="1">
      <c r="A224" s="23"/>
    </row>
    <row r="225" spans="1:1" ht="14.25" customHeight="1">
      <c r="A225" s="23"/>
    </row>
    <row r="226" spans="1:1" ht="14.25" customHeight="1">
      <c r="A226" s="23"/>
    </row>
    <row r="227" spans="1:1" ht="14.25" customHeight="1">
      <c r="A227" s="23"/>
    </row>
    <row r="228" spans="1:1" ht="14.25" customHeight="1">
      <c r="A228" s="23"/>
    </row>
    <row r="229" spans="1:1" ht="14.25" customHeight="1">
      <c r="A229" s="23"/>
    </row>
    <row r="230" spans="1:1" ht="14.25" customHeight="1">
      <c r="A230" s="23"/>
    </row>
    <row r="231" spans="1:1" ht="14.25" customHeight="1">
      <c r="A231" s="23"/>
    </row>
    <row r="232" spans="1:1" ht="14.25" customHeight="1">
      <c r="A232" s="23"/>
    </row>
    <row r="233" spans="1:1" ht="14.25" customHeight="1">
      <c r="A233" s="23"/>
    </row>
    <row r="234" spans="1:1" ht="14.25" customHeight="1">
      <c r="A234" s="23"/>
    </row>
    <row r="235" spans="1:1" ht="14.25" customHeight="1">
      <c r="A235" s="23"/>
    </row>
    <row r="236" spans="1:1" ht="14.25" customHeight="1">
      <c r="A236" s="23"/>
    </row>
    <row r="237" spans="1:1" ht="14.25" customHeight="1">
      <c r="A237" s="23"/>
    </row>
    <row r="238" spans="1:1" ht="14.25" customHeight="1">
      <c r="A238" s="23"/>
    </row>
    <row r="239" spans="1:1" ht="14.25" customHeight="1">
      <c r="A239" s="23"/>
    </row>
    <row r="240" spans="1:1" ht="14.25" customHeight="1">
      <c r="A240" s="23"/>
    </row>
    <row r="241" spans="1:1" ht="14.25" customHeight="1">
      <c r="A241" s="23"/>
    </row>
    <row r="242" spans="1:1" ht="14.25" customHeight="1">
      <c r="A242" s="23"/>
    </row>
    <row r="243" spans="1:1" ht="14.25" customHeight="1">
      <c r="A243" s="23"/>
    </row>
    <row r="244" spans="1:1" ht="14.25" customHeight="1">
      <c r="A244" s="23"/>
    </row>
    <row r="245" spans="1:1" ht="14.25" customHeight="1">
      <c r="A245" s="23"/>
    </row>
    <row r="246" spans="1:1" ht="14.25" customHeight="1">
      <c r="A246" s="23"/>
    </row>
    <row r="247" spans="1:1" ht="14.25" customHeight="1">
      <c r="A247" s="23"/>
    </row>
    <row r="248" spans="1:1" ht="14.25" customHeight="1">
      <c r="A248" s="23"/>
    </row>
    <row r="249" spans="1:1" ht="14.25" customHeight="1">
      <c r="A249" s="23"/>
    </row>
    <row r="250" spans="1:1" ht="14.25" customHeight="1">
      <c r="A250" s="23"/>
    </row>
    <row r="251" spans="1:1" ht="14.25" customHeight="1">
      <c r="A251" s="23"/>
    </row>
    <row r="252" spans="1:1" ht="14.25" customHeight="1">
      <c r="A252" s="23"/>
    </row>
    <row r="253" spans="1:1" ht="14.25" customHeight="1">
      <c r="A253" s="23"/>
    </row>
    <row r="254" spans="1:1" ht="14.25" customHeight="1">
      <c r="A254" s="23"/>
    </row>
    <row r="255" spans="1:1" ht="14.25" customHeight="1">
      <c r="A255" s="23"/>
    </row>
    <row r="256" spans="1:1" ht="14.25" customHeight="1">
      <c r="A256" s="23"/>
    </row>
    <row r="257" spans="1:1" ht="14.25" customHeight="1">
      <c r="A257" s="23"/>
    </row>
    <row r="258" spans="1:1" ht="14.25" customHeight="1">
      <c r="A258" s="23"/>
    </row>
    <row r="259" spans="1:1" ht="14.25" customHeight="1">
      <c r="A259" s="23"/>
    </row>
    <row r="260" spans="1:1" ht="14.25" customHeight="1">
      <c r="A260" s="23"/>
    </row>
    <row r="261" spans="1:1" ht="14.25" customHeight="1">
      <c r="A261" s="23"/>
    </row>
    <row r="262" spans="1:1" ht="14.25" customHeight="1">
      <c r="A262" s="23"/>
    </row>
    <row r="263" spans="1:1" ht="14.25" customHeight="1">
      <c r="A263" s="23"/>
    </row>
    <row r="264" spans="1:1" ht="14.25" customHeight="1">
      <c r="A264" s="23"/>
    </row>
    <row r="265" spans="1:1" ht="14.25" customHeight="1">
      <c r="A265" s="23"/>
    </row>
    <row r="266" spans="1:1" ht="14.25" customHeight="1">
      <c r="A266" s="23"/>
    </row>
    <row r="267" spans="1:1" ht="14.25" customHeight="1">
      <c r="A267" s="23"/>
    </row>
    <row r="268" spans="1:1" ht="14.25" customHeight="1">
      <c r="A268" s="23"/>
    </row>
    <row r="269" spans="1:1" ht="14.25" customHeight="1">
      <c r="A269" s="23"/>
    </row>
    <row r="270" spans="1:1" ht="14.25" customHeight="1">
      <c r="A270" s="23"/>
    </row>
    <row r="271" spans="1:1" ht="14.25" customHeight="1">
      <c r="A271" s="23"/>
    </row>
    <row r="272" spans="1:1" ht="14.25" customHeight="1">
      <c r="A272" s="23"/>
    </row>
    <row r="273" spans="1:1" ht="14.25" customHeight="1">
      <c r="A273" s="23"/>
    </row>
    <row r="274" spans="1:1" ht="14.25" customHeight="1">
      <c r="A274" s="23"/>
    </row>
    <row r="275" spans="1:1" ht="14.25" customHeight="1">
      <c r="A275" s="23"/>
    </row>
    <row r="276" spans="1:1" ht="14.25" customHeight="1">
      <c r="A276" s="23"/>
    </row>
    <row r="277" spans="1:1" ht="14.25" customHeight="1">
      <c r="A277" s="23"/>
    </row>
    <row r="278" spans="1:1" ht="14.25" customHeight="1">
      <c r="A278" s="23"/>
    </row>
    <row r="279" spans="1:1" ht="14.25" customHeight="1">
      <c r="A279" s="23"/>
    </row>
    <row r="280" spans="1:1" ht="14.25" customHeight="1">
      <c r="A280" s="23"/>
    </row>
    <row r="281" spans="1:1" ht="14.25" customHeight="1">
      <c r="A281" s="23"/>
    </row>
    <row r="282" spans="1:1" ht="14.25" customHeight="1">
      <c r="A282" s="23"/>
    </row>
    <row r="283" spans="1:1" ht="14.25" customHeight="1">
      <c r="A283" s="23"/>
    </row>
    <row r="284" spans="1:1" ht="14.25" customHeight="1">
      <c r="A284" s="23"/>
    </row>
    <row r="285" spans="1:1" ht="14.25" customHeight="1">
      <c r="A285" s="23"/>
    </row>
    <row r="286" spans="1:1" ht="14.25" customHeight="1">
      <c r="A286" s="23"/>
    </row>
    <row r="287" spans="1:1" ht="14.25" customHeight="1">
      <c r="A287" s="23"/>
    </row>
    <row r="288" spans="1:1" ht="14.25" customHeight="1">
      <c r="A288" s="23"/>
    </row>
    <row r="289" spans="1:1" ht="14.25" customHeight="1">
      <c r="A289" s="23"/>
    </row>
    <row r="290" spans="1:1" ht="14.25" customHeight="1">
      <c r="A290" s="23"/>
    </row>
    <row r="291" spans="1:1" ht="14.25" customHeight="1">
      <c r="A291" s="23"/>
    </row>
    <row r="292" spans="1:1" ht="14.25" customHeight="1">
      <c r="A292" s="23"/>
    </row>
    <row r="293" spans="1:1" ht="14.25" customHeight="1">
      <c r="A293" s="23"/>
    </row>
    <row r="294" spans="1:1" ht="14.25" customHeight="1">
      <c r="A294" s="23"/>
    </row>
    <row r="295" spans="1:1" ht="14.25" customHeight="1">
      <c r="A295" s="23"/>
    </row>
    <row r="296" spans="1:1" ht="14.25" customHeight="1">
      <c r="A296" s="23"/>
    </row>
    <row r="297" spans="1:1" ht="14.25" customHeight="1">
      <c r="A297" s="23"/>
    </row>
    <row r="298" spans="1:1" ht="14.25" customHeight="1">
      <c r="A298" s="23"/>
    </row>
    <row r="299" spans="1:1" ht="14.25" customHeight="1">
      <c r="A299" s="23"/>
    </row>
    <row r="300" spans="1:1" ht="14.25" customHeight="1">
      <c r="A300" s="23"/>
    </row>
    <row r="301" spans="1:1" ht="14.25" customHeight="1">
      <c r="A301" s="23"/>
    </row>
    <row r="302" spans="1:1" ht="14.25" customHeight="1">
      <c r="A302" s="23"/>
    </row>
    <row r="303" spans="1:1" ht="14.25" customHeight="1">
      <c r="A303" s="23"/>
    </row>
    <row r="304" spans="1:1" ht="14.25" customHeight="1">
      <c r="A304" s="23"/>
    </row>
    <row r="305" spans="1:1" ht="14.25" customHeight="1">
      <c r="A305" s="23"/>
    </row>
    <row r="306" spans="1:1" ht="14.25" customHeight="1">
      <c r="A306" s="23"/>
    </row>
    <row r="307" spans="1:1" ht="14.25" customHeight="1">
      <c r="A307" s="23"/>
    </row>
    <row r="308" spans="1:1" ht="14.25" customHeight="1">
      <c r="A308" s="23"/>
    </row>
    <row r="309" spans="1:1" ht="14.25" customHeight="1">
      <c r="A309" s="23"/>
    </row>
    <row r="310" spans="1:1" ht="14.25" customHeight="1">
      <c r="A310" s="23"/>
    </row>
    <row r="311" spans="1:1" ht="14.25" customHeight="1">
      <c r="A311" s="23"/>
    </row>
    <row r="312" spans="1:1" ht="14.25" customHeight="1">
      <c r="A312" s="23"/>
    </row>
    <row r="313" spans="1:1" ht="14.25" customHeight="1">
      <c r="A313" s="23"/>
    </row>
    <row r="314" spans="1:1" ht="14.25" customHeight="1">
      <c r="A314" s="23"/>
    </row>
    <row r="315" spans="1:1" ht="14.25" customHeight="1">
      <c r="A315" s="23"/>
    </row>
    <row r="316" spans="1:1" ht="14.25" customHeight="1">
      <c r="A316" s="23"/>
    </row>
    <row r="317" spans="1:1" ht="14.25" customHeight="1">
      <c r="A317" s="23"/>
    </row>
    <row r="318" spans="1:1" ht="14.25" customHeight="1">
      <c r="A318" s="23"/>
    </row>
    <row r="319" spans="1:1" ht="14.25" customHeight="1">
      <c r="A319" s="23"/>
    </row>
    <row r="320" spans="1:1" ht="14.25" customHeight="1">
      <c r="A320" s="23"/>
    </row>
    <row r="321" spans="1:1" ht="14.25" customHeight="1">
      <c r="A321" s="23"/>
    </row>
    <row r="322" spans="1:1" ht="14.25" customHeight="1">
      <c r="A322" s="23"/>
    </row>
    <row r="323" spans="1:1" ht="14.25" customHeight="1">
      <c r="A323" s="23"/>
    </row>
    <row r="324" spans="1:1" ht="14.25" customHeight="1">
      <c r="A324" s="23"/>
    </row>
    <row r="325" spans="1:1" ht="14.25" customHeight="1">
      <c r="A325" s="23"/>
    </row>
    <row r="326" spans="1:1" ht="14.25" customHeight="1">
      <c r="A326" s="23"/>
    </row>
    <row r="327" spans="1:1" ht="14.25" customHeight="1">
      <c r="A327" s="23"/>
    </row>
    <row r="328" spans="1:1" ht="14.25" customHeight="1">
      <c r="A328" s="23"/>
    </row>
    <row r="329" spans="1:1" ht="14.25" customHeight="1">
      <c r="A329" s="23"/>
    </row>
    <row r="330" spans="1:1" ht="14.25" customHeight="1">
      <c r="A330" s="23"/>
    </row>
    <row r="331" spans="1:1" ht="14.25" customHeight="1">
      <c r="A331" s="23"/>
    </row>
    <row r="332" spans="1:1" ht="14.25" customHeight="1">
      <c r="A332" s="23"/>
    </row>
    <row r="333" spans="1:1" ht="14.25" customHeight="1">
      <c r="A333" s="23"/>
    </row>
    <row r="334" spans="1:1" ht="14.25" customHeight="1">
      <c r="A334" s="23"/>
    </row>
    <row r="335" spans="1:1" ht="14.25" customHeight="1">
      <c r="A335" s="23"/>
    </row>
    <row r="336" spans="1:1" ht="14.25" customHeight="1">
      <c r="A336" s="23"/>
    </row>
    <row r="337" spans="1:1" ht="14.25" customHeight="1">
      <c r="A337" s="23"/>
    </row>
    <row r="338" spans="1:1" ht="14.25" customHeight="1">
      <c r="A338" s="23"/>
    </row>
    <row r="339" spans="1:1" ht="14.25" customHeight="1">
      <c r="A339" s="23"/>
    </row>
    <row r="340" spans="1:1" ht="14.25" customHeight="1">
      <c r="A340" s="23"/>
    </row>
    <row r="341" spans="1:1" ht="14.25" customHeight="1">
      <c r="A341" s="23"/>
    </row>
    <row r="342" spans="1:1" ht="14.25" customHeight="1">
      <c r="A342" s="23"/>
    </row>
    <row r="343" spans="1:1" ht="14.25" customHeight="1">
      <c r="A343" s="23"/>
    </row>
    <row r="344" spans="1:1" ht="14.25" customHeight="1">
      <c r="A344" s="23"/>
    </row>
    <row r="345" spans="1:1" ht="14.25" customHeight="1">
      <c r="A345" s="23"/>
    </row>
    <row r="346" spans="1:1" ht="14.25" customHeight="1">
      <c r="A346" s="23"/>
    </row>
    <row r="347" spans="1:1" ht="14.25" customHeight="1">
      <c r="A347" s="23"/>
    </row>
    <row r="348" spans="1:1" ht="14.25" customHeight="1">
      <c r="A348" s="23"/>
    </row>
    <row r="349" spans="1:1" ht="14.25" customHeight="1">
      <c r="A349" s="23"/>
    </row>
    <row r="350" spans="1:1" ht="14.25" customHeight="1">
      <c r="A350" s="23"/>
    </row>
    <row r="351" spans="1:1" ht="14.25" customHeight="1">
      <c r="A351" s="23"/>
    </row>
    <row r="352" spans="1:1" ht="14.25" customHeight="1">
      <c r="A352" s="23"/>
    </row>
    <row r="353" spans="1:1" ht="14.25" customHeight="1">
      <c r="A353" s="23"/>
    </row>
    <row r="354" spans="1:1" ht="14.25" customHeight="1">
      <c r="A354" s="23"/>
    </row>
    <row r="355" spans="1:1" ht="14.25" customHeight="1">
      <c r="A355" s="23"/>
    </row>
    <row r="356" spans="1:1" ht="14.25" customHeight="1">
      <c r="A356" s="23"/>
    </row>
    <row r="357" spans="1:1" ht="14.25" customHeight="1">
      <c r="A357" s="23"/>
    </row>
    <row r="358" spans="1:1" ht="14.25" customHeight="1">
      <c r="A358" s="23"/>
    </row>
    <row r="359" spans="1:1" ht="14.25" customHeight="1">
      <c r="A359" s="23"/>
    </row>
    <row r="360" spans="1:1" ht="14.25" customHeight="1">
      <c r="A360" s="23"/>
    </row>
    <row r="361" spans="1:1" ht="14.25" customHeight="1">
      <c r="A361" s="23"/>
    </row>
    <row r="362" spans="1:1" ht="14.25" customHeight="1">
      <c r="A362" s="23"/>
    </row>
    <row r="363" spans="1:1" ht="14.25" customHeight="1">
      <c r="A363" s="23"/>
    </row>
    <row r="364" spans="1:1" ht="14.25" customHeight="1">
      <c r="A364" s="23"/>
    </row>
    <row r="365" spans="1:1" ht="14.25" customHeight="1">
      <c r="A365" s="23"/>
    </row>
    <row r="366" spans="1:1" ht="14.25" customHeight="1">
      <c r="A366" s="23"/>
    </row>
    <row r="367" spans="1:1" ht="14.25" customHeight="1">
      <c r="A367" s="23"/>
    </row>
    <row r="368" spans="1:1" ht="14.25" customHeight="1">
      <c r="A368" s="23"/>
    </row>
    <row r="369" spans="1:1" ht="14.25" customHeight="1">
      <c r="A369" s="23"/>
    </row>
    <row r="370" spans="1:1" ht="14.25" customHeight="1">
      <c r="A370" s="23"/>
    </row>
    <row r="371" spans="1:1" ht="14.25" customHeight="1">
      <c r="A371" s="23"/>
    </row>
    <row r="372" spans="1:1" ht="14.25" customHeight="1">
      <c r="A372" s="23"/>
    </row>
    <row r="373" spans="1:1" ht="14.25" customHeight="1">
      <c r="A373" s="23"/>
    </row>
    <row r="374" spans="1:1" ht="14.25" customHeight="1">
      <c r="A374" s="23"/>
    </row>
    <row r="375" spans="1:1" ht="14.25" customHeight="1">
      <c r="A375" s="23"/>
    </row>
    <row r="376" spans="1:1" ht="14.25" customHeight="1">
      <c r="A376" s="23"/>
    </row>
    <row r="377" spans="1:1" ht="14.25" customHeight="1">
      <c r="A377" s="23"/>
    </row>
    <row r="378" spans="1:1" ht="14.25" customHeight="1">
      <c r="A378" s="23"/>
    </row>
    <row r="379" spans="1:1" ht="14.25" customHeight="1">
      <c r="A379" s="23"/>
    </row>
    <row r="380" spans="1:1" ht="14.25" customHeight="1">
      <c r="A380" s="23"/>
    </row>
    <row r="381" spans="1:1" ht="14.25" customHeight="1">
      <c r="A381" s="23"/>
    </row>
    <row r="382" spans="1:1" ht="14.25" customHeight="1">
      <c r="A382" s="23"/>
    </row>
    <row r="383" spans="1:1" ht="14.25" customHeight="1">
      <c r="A383" s="23"/>
    </row>
    <row r="384" spans="1:1" ht="14.25" customHeight="1">
      <c r="A384" s="23"/>
    </row>
    <row r="385" spans="1:1" ht="14.25" customHeight="1">
      <c r="A385" s="23"/>
    </row>
    <row r="386" spans="1:1" ht="14.25" customHeight="1">
      <c r="A386" s="23"/>
    </row>
    <row r="387" spans="1:1" ht="14.25" customHeight="1">
      <c r="A387" s="23"/>
    </row>
    <row r="388" spans="1:1" ht="14.25" customHeight="1">
      <c r="A388" s="23"/>
    </row>
    <row r="389" spans="1:1" ht="14.25" customHeight="1">
      <c r="A389" s="23"/>
    </row>
    <row r="390" spans="1:1" ht="14.25" customHeight="1">
      <c r="A390" s="23"/>
    </row>
    <row r="391" spans="1:1" ht="14.25" customHeight="1">
      <c r="A391" s="23"/>
    </row>
    <row r="392" spans="1:1" ht="14.25" customHeight="1">
      <c r="A392" s="23"/>
    </row>
    <row r="393" spans="1:1" ht="14.25" customHeight="1">
      <c r="A393" s="23"/>
    </row>
    <row r="394" spans="1:1" ht="14.25" customHeight="1">
      <c r="A394" s="23"/>
    </row>
    <row r="395" spans="1:1" ht="14.25" customHeight="1">
      <c r="A395" s="23"/>
    </row>
    <row r="396" spans="1:1" ht="14.25" customHeight="1">
      <c r="A396" s="23"/>
    </row>
    <row r="397" spans="1:1" ht="14.25" customHeight="1">
      <c r="A397" s="23"/>
    </row>
    <row r="398" spans="1:1" ht="14.25" customHeight="1">
      <c r="A398" s="23"/>
    </row>
    <row r="399" spans="1:1" ht="14.25" customHeight="1">
      <c r="A399" s="23"/>
    </row>
    <row r="400" spans="1:1" ht="14.25" customHeight="1">
      <c r="A400" s="23"/>
    </row>
    <row r="401" spans="1:1" ht="14.25" customHeight="1">
      <c r="A401" s="23"/>
    </row>
    <row r="402" spans="1:1" ht="14.25" customHeight="1">
      <c r="A402" s="23"/>
    </row>
    <row r="403" spans="1:1" ht="14.25" customHeight="1">
      <c r="A403" s="23"/>
    </row>
    <row r="404" spans="1:1" ht="14.25" customHeight="1">
      <c r="A404" s="23"/>
    </row>
    <row r="405" spans="1:1" ht="14.25" customHeight="1">
      <c r="A405" s="23"/>
    </row>
    <row r="406" spans="1:1" ht="14.25" customHeight="1">
      <c r="A406" s="23"/>
    </row>
    <row r="407" spans="1:1" ht="14.25" customHeight="1">
      <c r="A407" s="23"/>
    </row>
    <row r="408" spans="1:1" ht="14.25" customHeight="1">
      <c r="A408" s="23"/>
    </row>
    <row r="409" spans="1:1" ht="14.25" customHeight="1">
      <c r="A409" s="23"/>
    </row>
    <row r="410" spans="1:1" ht="14.25" customHeight="1">
      <c r="A410" s="23"/>
    </row>
    <row r="411" spans="1:1" ht="14.25" customHeight="1">
      <c r="A411" s="23"/>
    </row>
    <row r="412" spans="1:1" ht="14.25" customHeight="1">
      <c r="A412" s="23"/>
    </row>
    <row r="413" spans="1:1" ht="14.25" customHeight="1">
      <c r="A413" s="23"/>
    </row>
    <row r="414" spans="1:1" ht="14.25" customHeight="1">
      <c r="A414" s="23"/>
    </row>
    <row r="415" spans="1:1" ht="14.25" customHeight="1">
      <c r="A415" s="23"/>
    </row>
    <row r="416" spans="1:1" ht="14.25" customHeight="1">
      <c r="A416" s="23"/>
    </row>
    <row r="417" spans="1:1" ht="14.25" customHeight="1">
      <c r="A417" s="23"/>
    </row>
    <row r="418" spans="1:1" ht="14.25" customHeight="1">
      <c r="A418" s="23"/>
    </row>
    <row r="419" spans="1:1" ht="14.25" customHeight="1">
      <c r="A419" s="23"/>
    </row>
    <row r="420" spans="1:1" ht="14.25" customHeight="1">
      <c r="A420" s="23"/>
    </row>
    <row r="421" spans="1:1" ht="14.25" customHeight="1">
      <c r="A421" s="23"/>
    </row>
    <row r="422" spans="1:1" ht="14.25" customHeight="1">
      <c r="A422" s="23"/>
    </row>
    <row r="423" spans="1:1" ht="14.25" customHeight="1">
      <c r="A423" s="23"/>
    </row>
    <row r="424" spans="1:1" ht="14.25" customHeight="1">
      <c r="A424" s="23"/>
    </row>
    <row r="425" spans="1:1" ht="14.25" customHeight="1">
      <c r="A425" s="23"/>
    </row>
    <row r="426" spans="1:1" ht="14.25" customHeight="1">
      <c r="A426" s="23"/>
    </row>
    <row r="427" spans="1:1" ht="14.25" customHeight="1">
      <c r="A427" s="23"/>
    </row>
    <row r="428" spans="1:1" ht="14.25" customHeight="1">
      <c r="A428" s="23"/>
    </row>
    <row r="429" spans="1:1" ht="14.25" customHeight="1">
      <c r="A429" s="23"/>
    </row>
    <row r="430" spans="1:1" ht="14.25" customHeight="1">
      <c r="A430" s="23"/>
    </row>
    <row r="431" spans="1:1" ht="14.25" customHeight="1">
      <c r="A431" s="23"/>
    </row>
    <row r="432" spans="1:1" ht="14.25" customHeight="1">
      <c r="A432" s="23"/>
    </row>
    <row r="433" spans="1:1" ht="14.25" customHeight="1">
      <c r="A433" s="23"/>
    </row>
    <row r="434" spans="1:1" ht="14.25" customHeight="1">
      <c r="A434" s="23"/>
    </row>
    <row r="435" spans="1:1" ht="14.25" customHeight="1">
      <c r="A435" s="23"/>
    </row>
    <row r="436" spans="1:1" ht="14.25" customHeight="1">
      <c r="A436" s="23"/>
    </row>
    <row r="437" spans="1:1" ht="14.25" customHeight="1">
      <c r="A437" s="23"/>
    </row>
    <row r="438" spans="1:1" ht="14.25" customHeight="1">
      <c r="A438" s="23"/>
    </row>
    <row r="439" spans="1:1" ht="14.25" customHeight="1">
      <c r="A439" s="23"/>
    </row>
    <row r="440" spans="1:1" ht="14.25" customHeight="1">
      <c r="A440" s="23"/>
    </row>
    <row r="441" spans="1:1" ht="14.25" customHeight="1">
      <c r="A441" s="23"/>
    </row>
    <row r="442" spans="1:1" ht="14.25" customHeight="1">
      <c r="A442" s="23"/>
    </row>
    <row r="443" spans="1:1" ht="14.25" customHeight="1">
      <c r="A443" s="23"/>
    </row>
    <row r="444" spans="1:1" ht="14.25" customHeight="1">
      <c r="A444" s="23"/>
    </row>
    <row r="445" spans="1:1" ht="14.25" customHeight="1">
      <c r="A445" s="23"/>
    </row>
    <row r="446" spans="1:1" ht="14.25" customHeight="1">
      <c r="A446" s="23"/>
    </row>
    <row r="447" spans="1:1" ht="14.25" customHeight="1">
      <c r="A447" s="23"/>
    </row>
    <row r="448" spans="1:1" ht="14.25" customHeight="1">
      <c r="A448" s="23"/>
    </row>
    <row r="449" spans="1:1" ht="14.25" customHeight="1">
      <c r="A449" s="23"/>
    </row>
    <row r="450" spans="1:1" ht="14.25" customHeight="1">
      <c r="A450" s="23"/>
    </row>
    <row r="451" spans="1:1" ht="14.25" customHeight="1">
      <c r="A451" s="23"/>
    </row>
    <row r="452" spans="1:1" ht="14.25" customHeight="1">
      <c r="A452" s="23"/>
    </row>
    <row r="453" spans="1:1" ht="14.25" customHeight="1">
      <c r="A453" s="23"/>
    </row>
    <row r="454" spans="1:1" ht="14.25" customHeight="1">
      <c r="A454" s="23"/>
    </row>
    <row r="455" spans="1:1" ht="14.25" customHeight="1">
      <c r="A455" s="23"/>
    </row>
    <row r="456" spans="1:1" ht="14.25" customHeight="1">
      <c r="A456" s="23"/>
    </row>
    <row r="457" spans="1:1" ht="14.25" customHeight="1">
      <c r="A457" s="23"/>
    </row>
    <row r="458" spans="1:1" ht="14.25" customHeight="1">
      <c r="A458" s="23"/>
    </row>
    <row r="459" spans="1:1" ht="14.25" customHeight="1">
      <c r="A459" s="23"/>
    </row>
    <row r="460" spans="1:1" ht="14.25" customHeight="1">
      <c r="A460" s="23"/>
    </row>
    <row r="461" spans="1:1" ht="14.25" customHeight="1">
      <c r="A461" s="23"/>
    </row>
    <row r="462" spans="1:1" ht="14.25" customHeight="1">
      <c r="A462" s="23"/>
    </row>
    <row r="463" spans="1:1" ht="14.25" customHeight="1">
      <c r="A463" s="23"/>
    </row>
    <row r="464" spans="1:1" ht="14.25" customHeight="1">
      <c r="A464" s="23"/>
    </row>
    <row r="465" spans="1:1" ht="14.25" customHeight="1">
      <c r="A465" s="23"/>
    </row>
    <row r="466" spans="1:1" ht="14.25" customHeight="1">
      <c r="A466" s="23"/>
    </row>
    <row r="467" spans="1:1" ht="14.25" customHeight="1">
      <c r="A467" s="23"/>
    </row>
    <row r="468" spans="1:1" ht="14.25" customHeight="1">
      <c r="A468" s="23"/>
    </row>
    <row r="469" spans="1:1" ht="14.25" customHeight="1">
      <c r="A469" s="23"/>
    </row>
    <row r="470" spans="1:1" ht="14.25" customHeight="1">
      <c r="A470" s="23"/>
    </row>
    <row r="471" spans="1:1" ht="14.25" customHeight="1">
      <c r="A471" s="23"/>
    </row>
    <row r="472" spans="1:1" ht="14.25" customHeight="1">
      <c r="A472" s="23"/>
    </row>
    <row r="473" spans="1:1" ht="14.25" customHeight="1">
      <c r="A473" s="23"/>
    </row>
    <row r="474" spans="1:1" ht="14.25" customHeight="1">
      <c r="A474" s="23"/>
    </row>
    <row r="475" spans="1:1" ht="14.25" customHeight="1">
      <c r="A475" s="23"/>
    </row>
    <row r="476" spans="1:1" ht="14.25" customHeight="1">
      <c r="A476" s="23"/>
    </row>
    <row r="477" spans="1:1" ht="14.25" customHeight="1">
      <c r="A477" s="23"/>
    </row>
    <row r="478" spans="1:1" ht="14.25" customHeight="1">
      <c r="A478" s="23"/>
    </row>
    <row r="479" spans="1:1" ht="14.25" customHeight="1">
      <c r="A479" s="23"/>
    </row>
    <row r="480" spans="1:1" ht="14.25" customHeight="1">
      <c r="A480" s="23"/>
    </row>
    <row r="481" spans="1:1" ht="14.25" customHeight="1">
      <c r="A481" s="23"/>
    </row>
    <row r="482" spans="1:1" ht="14.25" customHeight="1">
      <c r="A482" s="23"/>
    </row>
    <row r="483" spans="1:1" ht="14.25" customHeight="1">
      <c r="A483" s="23"/>
    </row>
    <row r="484" spans="1:1" ht="14.25" customHeight="1">
      <c r="A484" s="23"/>
    </row>
    <row r="485" spans="1:1" ht="14.25" customHeight="1">
      <c r="A485" s="23"/>
    </row>
    <row r="486" spans="1:1" ht="14.25" customHeight="1">
      <c r="A486" s="23"/>
    </row>
    <row r="487" spans="1:1" ht="14.25" customHeight="1">
      <c r="A487" s="23"/>
    </row>
    <row r="488" spans="1:1" ht="14.25" customHeight="1">
      <c r="A488" s="23"/>
    </row>
    <row r="489" spans="1:1" ht="14.25" customHeight="1">
      <c r="A489" s="23"/>
    </row>
    <row r="490" spans="1:1" ht="14.25" customHeight="1">
      <c r="A490" s="23"/>
    </row>
    <row r="491" spans="1:1" ht="14.25" customHeight="1">
      <c r="A491" s="23"/>
    </row>
    <row r="492" spans="1:1" ht="14.25" customHeight="1">
      <c r="A492" s="23"/>
    </row>
    <row r="493" spans="1:1" ht="14.25" customHeight="1">
      <c r="A493" s="23"/>
    </row>
    <row r="494" spans="1:1" ht="14.25" customHeight="1">
      <c r="A494" s="23"/>
    </row>
    <row r="495" spans="1:1" ht="14.25" customHeight="1">
      <c r="A495" s="23"/>
    </row>
    <row r="496" spans="1:1" ht="14.25" customHeight="1">
      <c r="A496" s="23"/>
    </row>
    <row r="497" spans="1:1" ht="14.25" customHeight="1">
      <c r="A497" s="23"/>
    </row>
    <row r="498" spans="1:1" ht="14.25" customHeight="1">
      <c r="A498" s="23"/>
    </row>
    <row r="499" spans="1:1" ht="14.25" customHeight="1">
      <c r="A499" s="23"/>
    </row>
    <row r="500" spans="1:1" ht="14.25" customHeight="1">
      <c r="A500" s="23"/>
    </row>
    <row r="501" spans="1:1" ht="14.25" customHeight="1">
      <c r="A501" s="23"/>
    </row>
    <row r="502" spans="1:1" ht="14.25" customHeight="1">
      <c r="A502" s="23"/>
    </row>
    <row r="503" spans="1:1" ht="14.25" customHeight="1">
      <c r="A503" s="23"/>
    </row>
    <row r="504" spans="1:1" ht="14.25" customHeight="1">
      <c r="A504" s="23"/>
    </row>
    <row r="505" spans="1:1" ht="14.25" customHeight="1">
      <c r="A505" s="23"/>
    </row>
    <row r="506" spans="1:1" ht="14.25" customHeight="1">
      <c r="A506" s="23"/>
    </row>
    <row r="507" spans="1:1" ht="14.25" customHeight="1">
      <c r="A507" s="23"/>
    </row>
    <row r="508" spans="1:1" ht="14.25" customHeight="1">
      <c r="A508" s="23"/>
    </row>
    <row r="509" spans="1:1" ht="14.25" customHeight="1">
      <c r="A509" s="23"/>
    </row>
    <row r="510" spans="1:1" ht="14.25" customHeight="1">
      <c r="A510" s="23"/>
    </row>
    <row r="511" spans="1:1" ht="14.25" customHeight="1">
      <c r="A511" s="23"/>
    </row>
    <row r="512" spans="1:1" ht="14.25" customHeight="1">
      <c r="A512" s="23"/>
    </row>
    <row r="513" spans="1:1" ht="14.25" customHeight="1">
      <c r="A513" s="23"/>
    </row>
    <row r="514" spans="1:1" ht="14.25" customHeight="1">
      <c r="A514" s="23"/>
    </row>
    <row r="515" spans="1:1" ht="14.25" customHeight="1">
      <c r="A515" s="23"/>
    </row>
    <row r="516" spans="1:1" ht="14.25" customHeight="1">
      <c r="A516" s="23"/>
    </row>
    <row r="517" spans="1:1" ht="14.25" customHeight="1">
      <c r="A517" s="23"/>
    </row>
    <row r="518" spans="1:1" ht="14.25" customHeight="1">
      <c r="A518" s="23"/>
    </row>
    <row r="519" spans="1:1" ht="14.25" customHeight="1">
      <c r="A519" s="23"/>
    </row>
    <row r="520" spans="1:1" ht="14.25" customHeight="1">
      <c r="A520" s="23"/>
    </row>
    <row r="521" spans="1:1" ht="14.25" customHeight="1">
      <c r="A521" s="23"/>
    </row>
    <row r="522" spans="1:1" ht="14.25" customHeight="1">
      <c r="A522" s="23"/>
    </row>
    <row r="523" spans="1:1" ht="14.25" customHeight="1">
      <c r="A523" s="23"/>
    </row>
    <row r="524" spans="1:1" ht="14.25" customHeight="1">
      <c r="A524" s="23"/>
    </row>
    <row r="525" spans="1:1" ht="14.25" customHeight="1">
      <c r="A525" s="23"/>
    </row>
    <row r="526" spans="1:1" ht="14.25" customHeight="1">
      <c r="A526" s="23"/>
    </row>
    <row r="527" spans="1:1" ht="14.25" customHeight="1">
      <c r="A527" s="23"/>
    </row>
    <row r="528" spans="1:1" ht="14.25" customHeight="1">
      <c r="A528" s="23"/>
    </row>
    <row r="529" spans="1:1" ht="14.25" customHeight="1">
      <c r="A529" s="23"/>
    </row>
    <row r="530" spans="1:1" ht="14.25" customHeight="1">
      <c r="A530" s="23"/>
    </row>
    <row r="531" spans="1:1" ht="14.25" customHeight="1">
      <c r="A531" s="23"/>
    </row>
    <row r="532" spans="1:1" ht="14.25" customHeight="1">
      <c r="A532" s="23"/>
    </row>
    <row r="533" spans="1:1" ht="14.25" customHeight="1">
      <c r="A533" s="23"/>
    </row>
    <row r="534" spans="1:1" ht="14.25" customHeight="1">
      <c r="A534" s="23"/>
    </row>
    <row r="535" spans="1:1" ht="14.25" customHeight="1">
      <c r="A535" s="23"/>
    </row>
    <row r="536" spans="1:1" ht="14.25" customHeight="1">
      <c r="A536" s="23"/>
    </row>
    <row r="537" spans="1:1" ht="14.25" customHeight="1">
      <c r="A537" s="23"/>
    </row>
    <row r="538" spans="1:1" ht="14.25" customHeight="1">
      <c r="A538" s="23"/>
    </row>
    <row r="539" spans="1:1" ht="14.25" customHeight="1">
      <c r="A539" s="23"/>
    </row>
    <row r="540" spans="1:1" ht="14.25" customHeight="1">
      <c r="A540" s="23"/>
    </row>
    <row r="541" spans="1:1" ht="14.25" customHeight="1">
      <c r="A541" s="23"/>
    </row>
    <row r="542" spans="1:1" ht="14.25" customHeight="1">
      <c r="A542" s="23"/>
    </row>
    <row r="543" spans="1:1" ht="14.25" customHeight="1">
      <c r="A543" s="23"/>
    </row>
    <row r="544" spans="1:1" ht="14.25" customHeight="1">
      <c r="A544" s="23"/>
    </row>
    <row r="545" spans="1:1" ht="14.25" customHeight="1">
      <c r="A545" s="23"/>
    </row>
    <row r="546" spans="1:1" ht="14.25" customHeight="1">
      <c r="A546" s="23"/>
    </row>
    <row r="547" spans="1:1" ht="14.25" customHeight="1">
      <c r="A547" s="23"/>
    </row>
    <row r="548" spans="1:1" ht="14.25" customHeight="1">
      <c r="A548" s="23"/>
    </row>
    <row r="549" spans="1:1" ht="14.25" customHeight="1">
      <c r="A549" s="23"/>
    </row>
    <row r="550" spans="1:1" ht="14.25" customHeight="1">
      <c r="A550" s="23"/>
    </row>
    <row r="551" spans="1:1" ht="14.25" customHeight="1">
      <c r="A551" s="23"/>
    </row>
    <row r="552" spans="1:1" ht="14.25" customHeight="1">
      <c r="A552" s="23"/>
    </row>
    <row r="553" spans="1:1" ht="14.25" customHeight="1">
      <c r="A553" s="23"/>
    </row>
    <row r="554" spans="1:1" ht="14.25" customHeight="1">
      <c r="A554" s="23"/>
    </row>
    <row r="555" spans="1:1" ht="14.25" customHeight="1">
      <c r="A555" s="23"/>
    </row>
    <row r="556" spans="1:1" ht="14.25" customHeight="1">
      <c r="A556" s="23"/>
    </row>
    <row r="557" spans="1:1" ht="14.25" customHeight="1">
      <c r="A557" s="23"/>
    </row>
    <row r="558" spans="1:1" ht="14.25" customHeight="1">
      <c r="A558" s="23"/>
    </row>
    <row r="559" spans="1:1" ht="14.25" customHeight="1">
      <c r="A559" s="23"/>
    </row>
    <row r="560" spans="1:1" ht="14.25" customHeight="1">
      <c r="A560" s="23"/>
    </row>
    <row r="561" spans="1:1" ht="14.25" customHeight="1">
      <c r="A561" s="23"/>
    </row>
    <row r="562" spans="1:1" ht="14.25" customHeight="1">
      <c r="A562" s="23"/>
    </row>
    <row r="563" spans="1:1" ht="14.25" customHeight="1">
      <c r="A563" s="23"/>
    </row>
    <row r="564" spans="1:1" ht="14.25" customHeight="1">
      <c r="A564" s="23"/>
    </row>
    <row r="565" spans="1:1" ht="14.25" customHeight="1">
      <c r="A565" s="23"/>
    </row>
    <row r="566" spans="1:1" ht="14.25" customHeight="1">
      <c r="A566" s="23"/>
    </row>
    <row r="567" spans="1:1" ht="14.25" customHeight="1">
      <c r="A567" s="23"/>
    </row>
    <row r="568" spans="1:1" ht="14.25" customHeight="1">
      <c r="A568" s="23"/>
    </row>
    <row r="569" spans="1:1" ht="14.25" customHeight="1">
      <c r="A569" s="23"/>
    </row>
    <row r="570" spans="1:1" ht="14.25" customHeight="1">
      <c r="A570" s="23"/>
    </row>
    <row r="571" spans="1:1" ht="14.25" customHeight="1">
      <c r="A571" s="23"/>
    </row>
    <row r="572" spans="1:1" ht="14.25" customHeight="1">
      <c r="A572" s="23"/>
    </row>
    <row r="573" spans="1:1" ht="14.25" customHeight="1">
      <c r="A573" s="23"/>
    </row>
    <row r="574" spans="1:1" ht="14.25" customHeight="1">
      <c r="A574" s="23"/>
    </row>
    <row r="575" spans="1:1" ht="14.25" customHeight="1">
      <c r="A575" s="23"/>
    </row>
    <row r="576" spans="1:1" ht="14.25" customHeight="1">
      <c r="A576" s="23"/>
    </row>
    <row r="577" spans="1:1" ht="14.25" customHeight="1">
      <c r="A577" s="23"/>
    </row>
    <row r="578" spans="1:1" ht="14.25" customHeight="1">
      <c r="A578" s="23"/>
    </row>
    <row r="579" spans="1:1" ht="14.25" customHeight="1">
      <c r="A579" s="23"/>
    </row>
    <row r="580" spans="1:1" ht="14.25" customHeight="1">
      <c r="A580" s="23"/>
    </row>
    <row r="581" spans="1:1" ht="14.25" customHeight="1">
      <c r="A581" s="23"/>
    </row>
    <row r="582" spans="1:1" ht="14.25" customHeight="1">
      <c r="A582" s="23"/>
    </row>
    <row r="583" spans="1:1" ht="14.25" customHeight="1">
      <c r="A583" s="23"/>
    </row>
    <row r="584" spans="1:1" ht="14.25" customHeight="1">
      <c r="A584" s="23"/>
    </row>
    <row r="585" spans="1:1" ht="14.25" customHeight="1">
      <c r="A585" s="23"/>
    </row>
    <row r="586" spans="1:1" ht="14.25" customHeight="1">
      <c r="A586" s="23"/>
    </row>
    <row r="587" spans="1:1" ht="14.25" customHeight="1">
      <c r="A587" s="23"/>
    </row>
    <row r="588" spans="1:1" ht="14.25" customHeight="1">
      <c r="A588" s="23"/>
    </row>
    <row r="589" spans="1:1" ht="14.25" customHeight="1">
      <c r="A589" s="23"/>
    </row>
    <row r="590" spans="1:1" ht="14.25" customHeight="1">
      <c r="A590" s="23"/>
    </row>
    <row r="591" spans="1:1" ht="14.25" customHeight="1">
      <c r="A591" s="23"/>
    </row>
    <row r="592" spans="1:1" ht="14.25" customHeight="1">
      <c r="A592" s="23"/>
    </row>
    <row r="593" spans="1:1" ht="14.25" customHeight="1">
      <c r="A593" s="23"/>
    </row>
    <row r="594" spans="1:1" ht="14.25" customHeight="1">
      <c r="A594" s="23"/>
    </row>
    <row r="595" spans="1:1" ht="14.25" customHeight="1">
      <c r="A595" s="23"/>
    </row>
    <row r="596" spans="1:1" ht="14.25" customHeight="1">
      <c r="A596" s="23"/>
    </row>
    <row r="597" spans="1:1" ht="14.25" customHeight="1">
      <c r="A597" s="23"/>
    </row>
    <row r="598" spans="1:1" ht="14.25" customHeight="1">
      <c r="A598" s="23"/>
    </row>
    <row r="599" spans="1:1" ht="14.25" customHeight="1">
      <c r="A599" s="23"/>
    </row>
    <row r="600" spans="1:1" ht="14.25" customHeight="1">
      <c r="A600" s="23"/>
    </row>
    <row r="601" spans="1:1" ht="14.25" customHeight="1">
      <c r="A601" s="23"/>
    </row>
    <row r="602" spans="1:1" ht="14.25" customHeight="1">
      <c r="A602" s="23"/>
    </row>
    <row r="603" spans="1:1" ht="14.25" customHeight="1">
      <c r="A603" s="23"/>
    </row>
    <row r="604" spans="1:1" ht="14.25" customHeight="1">
      <c r="A604" s="23"/>
    </row>
    <row r="605" spans="1:1" ht="14.25" customHeight="1">
      <c r="A605" s="23"/>
    </row>
    <row r="606" spans="1:1" ht="14.25" customHeight="1">
      <c r="A606" s="23"/>
    </row>
    <row r="607" spans="1:1" ht="14.25" customHeight="1">
      <c r="A607" s="23"/>
    </row>
    <row r="608" spans="1:1" ht="14.25" customHeight="1">
      <c r="A608" s="23"/>
    </row>
    <row r="609" spans="1:1" ht="14.25" customHeight="1">
      <c r="A609" s="23"/>
    </row>
    <row r="610" spans="1:1" ht="14.25" customHeight="1">
      <c r="A610" s="23"/>
    </row>
    <row r="611" spans="1:1" ht="14.25" customHeight="1">
      <c r="A611" s="23"/>
    </row>
    <row r="612" spans="1:1" ht="14.25" customHeight="1">
      <c r="A612" s="23"/>
    </row>
    <row r="613" spans="1:1" ht="14.25" customHeight="1">
      <c r="A613" s="23"/>
    </row>
    <row r="614" spans="1:1" ht="14.25" customHeight="1">
      <c r="A614" s="23"/>
    </row>
    <row r="615" spans="1:1" ht="14.25" customHeight="1">
      <c r="A615" s="23"/>
    </row>
    <row r="616" spans="1:1" ht="14.25" customHeight="1">
      <c r="A616" s="23"/>
    </row>
    <row r="617" spans="1:1" ht="14.25" customHeight="1">
      <c r="A617" s="23"/>
    </row>
    <row r="618" spans="1:1" ht="14.25" customHeight="1">
      <c r="A618" s="23"/>
    </row>
    <row r="619" spans="1:1" ht="14.25" customHeight="1">
      <c r="A619" s="23"/>
    </row>
    <row r="620" spans="1:1" ht="14.25" customHeight="1">
      <c r="A620" s="23"/>
    </row>
    <row r="621" spans="1:1" ht="14.25" customHeight="1">
      <c r="A621" s="23"/>
    </row>
    <row r="622" spans="1:1" ht="14.25" customHeight="1">
      <c r="A622" s="23"/>
    </row>
    <row r="623" spans="1:1" ht="14.25" customHeight="1">
      <c r="A623" s="23"/>
    </row>
    <row r="624" spans="1:1" ht="14.25" customHeight="1">
      <c r="A624" s="23"/>
    </row>
    <row r="625" spans="1:1" ht="14.25" customHeight="1">
      <c r="A625" s="23"/>
    </row>
    <row r="626" spans="1:1" ht="14.25" customHeight="1">
      <c r="A626" s="23"/>
    </row>
    <row r="627" spans="1:1" ht="14.25" customHeight="1">
      <c r="A627" s="23"/>
    </row>
    <row r="628" spans="1:1" ht="14.25" customHeight="1">
      <c r="A628" s="23"/>
    </row>
    <row r="629" spans="1:1" ht="14.25" customHeight="1">
      <c r="A629" s="23"/>
    </row>
    <row r="630" spans="1:1" ht="14.25" customHeight="1">
      <c r="A630" s="23"/>
    </row>
    <row r="631" spans="1:1" ht="14.25" customHeight="1">
      <c r="A631" s="23"/>
    </row>
    <row r="632" spans="1:1" ht="14.25" customHeight="1">
      <c r="A632" s="23"/>
    </row>
    <row r="633" spans="1:1" ht="14.25" customHeight="1">
      <c r="A633" s="23"/>
    </row>
    <row r="634" spans="1:1" ht="14.25" customHeight="1">
      <c r="A634" s="23"/>
    </row>
    <row r="635" spans="1:1" ht="14.25" customHeight="1">
      <c r="A635" s="23"/>
    </row>
    <row r="636" spans="1:1" ht="14.25" customHeight="1">
      <c r="A636" s="23"/>
    </row>
    <row r="637" spans="1:1" ht="14.25" customHeight="1">
      <c r="A637" s="23"/>
    </row>
    <row r="638" spans="1:1" ht="14.25" customHeight="1">
      <c r="A638" s="23"/>
    </row>
    <row r="639" spans="1:1" ht="14.25" customHeight="1">
      <c r="A639" s="23"/>
    </row>
    <row r="640" spans="1:1" ht="14.25" customHeight="1">
      <c r="A640" s="23"/>
    </row>
    <row r="641" spans="1:1" ht="14.25" customHeight="1">
      <c r="A641" s="23"/>
    </row>
    <row r="642" spans="1:1" ht="14.25" customHeight="1">
      <c r="A642" s="23"/>
    </row>
    <row r="643" spans="1:1" ht="14.25" customHeight="1">
      <c r="A643" s="23"/>
    </row>
    <row r="644" spans="1:1" ht="14.25" customHeight="1">
      <c r="A644" s="23"/>
    </row>
    <row r="645" spans="1:1" ht="14.25" customHeight="1">
      <c r="A645" s="23"/>
    </row>
    <row r="646" spans="1:1" ht="14.25" customHeight="1">
      <c r="A646" s="23"/>
    </row>
    <row r="647" spans="1:1" ht="14.25" customHeight="1">
      <c r="A647" s="23"/>
    </row>
    <row r="648" spans="1:1" ht="14.25" customHeight="1">
      <c r="A648" s="23"/>
    </row>
    <row r="649" spans="1:1" ht="14.25" customHeight="1">
      <c r="A649" s="23"/>
    </row>
    <row r="650" spans="1:1" ht="14.25" customHeight="1">
      <c r="A650" s="23"/>
    </row>
    <row r="651" spans="1:1" ht="14.25" customHeight="1">
      <c r="A651" s="23"/>
    </row>
    <row r="652" spans="1:1" ht="14.25" customHeight="1">
      <c r="A652" s="23"/>
    </row>
    <row r="653" spans="1:1" ht="14.25" customHeight="1">
      <c r="A653" s="23"/>
    </row>
    <row r="654" spans="1:1" ht="14.25" customHeight="1">
      <c r="A654" s="23"/>
    </row>
    <row r="655" spans="1:1" ht="14.25" customHeight="1">
      <c r="A655" s="23"/>
    </row>
    <row r="656" spans="1:1" ht="14.25" customHeight="1">
      <c r="A656" s="23"/>
    </row>
    <row r="657" spans="1:1" ht="14.25" customHeight="1">
      <c r="A657" s="23"/>
    </row>
    <row r="658" spans="1:1" ht="14.25" customHeight="1">
      <c r="A658" s="23"/>
    </row>
    <row r="659" spans="1:1" ht="14.25" customHeight="1">
      <c r="A659" s="23"/>
    </row>
    <row r="660" spans="1:1" ht="14.25" customHeight="1">
      <c r="A660" s="23"/>
    </row>
    <row r="661" spans="1:1" ht="14.25" customHeight="1">
      <c r="A661" s="23"/>
    </row>
    <row r="662" spans="1:1" ht="14.25" customHeight="1">
      <c r="A662" s="23"/>
    </row>
    <row r="663" spans="1:1" ht="14.25" customHeight="1">
      <c r="A663" s="23"/>
    </row>
    <row r="664" spans="1:1" ht="14.25" customHeight="1">
      <c r="A664" s="23"/>
    </row>
    <row r="665" spans="1:1" ht="14.25" customHeight="1">
      <c r="A665" s="23"/>
    </row>
    <row r="666" spans="1:1" ht="14.25" customHeight="1">
      <c r="A666" s="23"/>
    </row>
    <row r="667" spans="1:1" ht="14.25" customHeight="1">
      <c r="A667" s="23"/>
    </row>
    <row r="668" spans="1:1" ht="14.25" customHeight="1">
      <c r="A668" s="23"/>
    </row>
    <row r="669" spans="1:1" ht="14.25" customHeight="1">
      <c r="A669" s="23"/>
    </row>
    <row r="670" spans="1:1" ht="14.25" customHeight="1">
      <c r="A670" s="23"/>
    </row>
    <row r="671" spans="1:1" ht="14.25" customHeight="1">
      <c r="A671" s="23"/>
    </row>
    <row r="672" spans="1:1" ht="14.25" customHeight="1">
      <c r="A672" s="23"/>
    </row>
    <row r="673" spans="1:1" ht="14.25" customHeight="1">
      <c r="A673" s="23"/>
    </row>
    <row r="674" spans="1:1" ht="14.25" customHeight="1">
      <c r="A674" s="23"/>
    </row>
    <row r="675" spans="1:1" ht="14.25" customHeight="1">
      <c r="A675" s="23"/>
    </row>
    <row r="676" spans="1:1" ht="14.25" customHeight="1">
      <c r="A676" s="23"/>
    </row>
    <row r="677" spans="1:1" ht="14.25" customHeight="1">
      <c r="A677" s="23"/>
    </row>
    <row r="678" spans="1:1" ht="14.25" customHeight="1">
      <c r="A678" s="23"/>
    </row>
    <row r="679" spans="1:1" ht="14.25" customHeight="1">
      <c r="A679" s="23"/>
    </row>
    <row r="680" spans="1:1" ht="14.25" customHeight="1">
      <c r="A680" s="23"/>
    </row>
    <row r="681" spans="1:1" ht="14.25" customHeight="1">
      <c r="A681" s="23"/>
    </row>
    <row r="682" spans="1:1" ht="14.25" customHeight="1">
      <c r="A682" s="23"/>
    </row>
    <row r="683" spans="1:1" ht="14.25" customHeight="1">
      <c r="A683" s="23"/>
    </row>
    <row r="684" spans="1:1" ht="14.25" customHeight="1">
      <c r="A684" s="23"/>
    </row>
    <row r="685" spans="1:1" ht="14.25" customHeight="1">
      <c r="A685" s="23"/>
    </row>
    <row r="686" spans="1:1" ht="14.25" customHeight="1">
      <c r="A686" s="23"/>
    </row>
    <row r="687" spans="1:1" ht="14.25" customHeight="1">
      <c r="A687" s="23"/>
    </row>
    <row r="688" spans="1:1" ht="14.25" customHeight="1">
      <c r="A688" s="23"/>
    </row>
    <row r="689" spans="1:1" ht="14.25" customHeight="1">
      <c r="A689" s="23"/>
    </row>
    <row r="690" spans="1:1" ht="14.25" customHeight="1">
      <c r="A690" s="23"/>
    </row>
    <row r="691" spans="1:1" ht="14.25" customHeight="1">
      <c r="A691" s="23"/>
    </row>
    <row r="692" spans="1:1" ht="14.25" customHeight="1">
      <c r="A692" s="23"/>
    </row>
    <row r="693" spans="1:1" ht="14.25" customHeight="1">
      <c r="A693" s="23"/>
    </row>
    <row r="694" spans="1:1" ht="14.25" customHeight="1">
      <c r="A694" s="23"/>
    </row>
    <row r="695" spans="1:1" ht="14.25" customHeight="1">
      <c r="A695" s="23"/>
    </row>
    <row r="696" spans="1:1" ht="14.25" customHeight="1">
      <c r="A696" s="23"/>
    </row>
    <row r="697" spans="1:1" ht="14.25" customHeight="1">
      <c r="A697" s="23"/>
    </row>
    <row r="698" spans="1:1" ht="14.25" customHeight="1">
      <c r="A698" s="23"/>
    </row>
    <row r="699" spans="1:1" ht="14.25" customHeight="1">
      <c r="A699" s="23"/>
    </row>
    <row r="700" spans="1:1" ht="14.25" customHeight="1">
      <c r="A700" s="23"/>
    </row>
    <row r="701" spans="1:1" ht="14.25" customHeight="1">
      <c r="A701" s="23"/>
    </row>
    <row r="702" spans="1:1" ht="14.25" customHeight="1">
      <c r="A702" s="23"/>
    </row>
    <row r="703" spans="1:1" ht="14.25" customHeight="1">
      <c r="A703" s="23"/>
    </row>
    <row r="704" spans="1:1" ht="14.25" customHeight="1">
      <c r="A704" s="23"/>
    </row>
    <row r="705" spans="1:1" ht="14.25" customHeight="1">
      <c r="A705" s="23"/>
    </row>
    <row r="706" spans="1:1" ht="14.25" customHeight="1">
      <c r="A706" s="23"/>
    </row>
    <row r="707" spans="1:1" ht="14.25" customHeight="1">
      <c r="A707" s="23"/>
    </row>
    <row r="708" spans="1:1" ht="14.25" customHeight="1">
      <c r="A708" s="23"/>
    </row>
    <row r="709" spans="1:1" ht="14.25" customHeight="1">
      <c r="A709" s="23"/>
    </row>
    <row r="710" spans="1:1" ht="14.25" customHeight="1">
      <c r="A710" s="23"/>
    </row>
    <row r="711" spans="1:1" ht="14.25" customHeight="1">
      <c r="A711" s="23"/>
    </row>
    <row r="712" spans="1:1" ht="14.25" customHeight="1">
      <c r="A712" s="23"/>
    </row>
    <row r="713" spans="1:1" ht="14.25" customHeight="1">
      <c r="A713" s="23"/>
    </row>
    <row r="714" spans="1:1" ht="14.25" customHeight="1">
      <c r="A714" s="23"/>
    </row>
    <row r="715" spans="1:1" ht="14.25" customHeight="1">
      <c r="A715" s="23"/>
    </row>
    <row r="716" spans="1:1" ht="14.25" customHeight="1">
      <c r="A716" s="23"/>
    </row>
    <row r="717" spans="1:1" ht="14.25" customHeight="1">
      <c r="A717" s="23"/>
    </row>
    <row r="718" spans="1:1" ht="14.25" customHeight="1">
      <c r="A718" s="23"/>
    </row>
    <row r="719" spans="1:1" ht="14.25" customHeight="1">
      <c r="A719" s="23"/>
    </row>
    <row r="720" spans="1:1" ht="14.25" customHeight="1">
      <c r="A720" s="23"/>
    </row>
    <row r="721" spans="1:1" ht="14.25" customHeight="1">
      <c r="A721" s="23"/>
    </row>
    <row r="722" spans="1:1" ht="14.25" customHeight="1">
      <c r="A722" s="23"/>
    </row>
    <row r="723" spans="1:1" ht="14.25" customHeight="1">
      <c r="A723" s="23"/>
    </row>
    <row r="724" spans="1:1" ht="14.25" customHeight="1">
      <c r="A724" s="23"/>
    </row>
    <row r="725" spans="1:1" ht="14.25" customHeight="1">
      <c r="A725" s="23"/>
    </row>
    <row r="726" spans="1:1" ht="14.25" customHeight="1">
      <c r="A726" s="23"/>
    </row>
    <row r="727" spans="1:1" ht="14.25" customHeight="1">
      <c r="A727" s="23"/>
    </row>
    <row r="728" spans="1:1" ht="14.25" customHeight="1">
      <c r="A728" s="23"/>
    </row>
    <row r="729" spans="1:1" ht="14.25" customHeight="1">
      <c r="A729" s="23"/>
    </row>
    <row r="730" spans="1:1" ht="14.25" customHeight="1">
      <c r="A730" s="23"/>
    </row>
    <row r="731" spans="1:1" ht="14.25" customHeight="1">
      <c r="A731" s="23"/>
    </row>
    <row r="732" spans="1:1" ht="14.25" customHeight="1">
      <c r="A732" s="23"/>
    </row>
    <row r="733" spans="1:1" ht="14.25" customHeight="1">
      <c r="A733" s="23"/>
    </row>
    <row r="734" spans="1:1" ht="14.25" customHeight="1">
      <c r="A734" s="23"/>
    </row>
    <row r="735" spans="1:1" ht="14.25" customHeight="1">
      <c r="A735" s="23"/>
    </row>
    <row r="736" spans="1:1" ht="14.25" customHeight="1">
      <c r="A736" s="23"/>
    </row>
    <row r="737" spans="1:1" ht="14.25" customHeight="1">
      <c r="A737" s="23"/>
    </row>
    <row r="738" spans="1:1" ht="14.25" customHeight="1">
      <c r="A738" s="23"/>
    </row>
    <row r="739" spans="1:1" ht="14.25" customHeight="1">
      <c r="A739" s="23"/>
    </row>
    <row r="740" spans="1:1" ht="14.25" customHeight="1">
      <c r="A740" s="23"/>
    </row>
    <row r="741" spans="1:1" ht="14.25" customHeight="1">
      <c r="A741" s="23"/>
    </row>
    <row r="742" spans="1:1" ht="14.25" customHeight="1">
      <c r="A742" s="23"/>
    </row>
    <row r="743" spans="1:1" ht="14.25" customHeight="1">
      <c r="A743" s="23"/>
    </row>
    <row r="744" spans="1:1" ht="14.25" customHeight="1">
      <c r="A744" s="23"/>
    </row>
    <row r="745" spans="1:1" ht="14.25" customHeight="1">
      <c r="A745" s="23"/>
    </row>
    <row r="746" spans="1:1" ht="14.25" customHeight="1">
      <c r="A746" s="23"/>
    </row>
    <row r="747" spans="1:1" ht="14.25" customHeight="1">
      <c r="A747" s="23"/>
    </row>
    <row r="748" spans="1:1" ht="14.25" customHeight="1">
      <c r="A748" s="23"/>
    </row>
    <row r="749" spans="1:1" ht="14.25" customHeight="1">
      <c r="A749" s="23"/>
    </row>
    <row r="750" spans="1:1" ht="14.25" customHeight="1">
      <c r="A750" s="23"/>
    </row>
    <row r="751" spans="1:1" ht="14.25" customHeight="1">
      <c r="A751" s="23"/>
    </row>
    <row r="752" spans="1:1" ht="14.25" customHeight="1">
      <c r="A752" s="23"/>
    </row>
    <row r="753" spans="1:1" ht="14.25" customHeight="1">
      <c r="A753" s="23"/>
    </row>
    <row r="754" spans="1:1" ht="14.25" customHeight="1">
      <c r="A754" s="23"/>
    </row>
    <row r="755" spans="1:1" ht="14.25" customHeight="1">
      <c r="A755" s="23"/>
    </row>
    <row r="756" spans="1:1" ht="14.25" customHeight="1">
      <c r="A756" s="23"/>
    </row>
    <row r="757" spans="1:1" ht="14.25" customHeight="1">
      <c r="A757" s="23"/>
    </row>
    <row r="758" spans="1:1" ht="14.25" customHeight="1">
      <c r="A758" s="23"/>
    </row>
    <row r="759" spans="1:1" ht="14.25" customHeight="1">
      <c r="A759" s="23"/>
    </row>
    <row r="760" spans="1:1" ht="14.25" customHeight="1">
      <c r="A760" s="23"/>
    </row>
    <row r="761" spans="1:1" ht="14.25" customHeight="1">
      <c r="A761" s="23"/>
    </row>
    <row r="762" spans="1:1" ht="14.25" customHeight="1">
      <c r="A762" s="23"/>
    </row>
    <row r="763" spans="1:1" ht="14.25" customHeight="1">
      <c r="A763" s="23"/>
    </row>
    <row r="764" spans="1:1" ht="14.25" customHeight="1">
      <c r="A764" s="23"/>
    </row>
    <row r="765" spans="1:1" ht="14.25" customHeight="1">
      <c r="A765" s="23"/>
    </row>
    <row r="766" spans="1:1" ht="14.25" customHeight="1">
      <c r="A766" s="23"/>
    </row>
    <row r="767" spans="1:1" ht="14.25" customHeight="1">
      <c r="A767" s="23"/>
    </row>
    <row r="768" spans="1:1" ht="14.25" customHeight="1">
      <c r="A768" s="23"/>
    </row>
    <row r="769" spans="1:1" ht="14.25" customHeight="1">
      <c r="A769" s="23"/>
    </row>
    <row r="770" spans="1:1" ht="14.25" customHeight="1">
      <c r="A770" s="23"/>
    </row>
    <row r="771" spans="1:1" ht="14.25" customHeight="1">
      <c r="A771" s="23"/>
    </row>
    <row r="772" spans="1:1" ht="14.25" customHeight="1">
      <c r="A772" s="23"/>
    </row>
    <row r="773" spans="1:1" ht="14.25" customHeight="1">
      <c r="A773" s="23"/>
    </row>
    <row r="774" spans="1:1" ht="14.25" customHeight="1">
      <c r="A774" s="23"/>
    </row>
    <row r="775" spans="1:1" ht="14.25" customHeight="1">
      <c r="A775" s="23"/>
    </row>
    <row r="776" spans="1:1" ht="14.25" customHeight="1">
      <c r="A776" s="23"/>
    </row>
    <row r="777" spans="1:1" ht="14.25" customHeight="1">
      <c r="A777" s="23"/>
    </row>
    <row r="778" spans="1:1" ht="14.25" customHeight="1">
      <c r="A778" s="23"/>
    </row>
    <row r="779" spans="1:1" ht="14.25" customHeight="1">
      <c r="A779" s="23"/>
    </row>
    <row r="780" spans="1:1" ht="14.25" customHeight="1">
      <c r="A780" s="23"/>
    </row>
    <row r="781" spans="1:1" ht="14.25" customHeight="1">
      <c r="A781" s="23"/>
    </row>
    <row r="782" spans="1:1" ht="14.25" customHeight="1">
      <c r="A782" s="23"/>
    </row>
    <row r="783" spans="1:1" ht="14.25" customHeight="1">
      <c r="A783" s="23"/>
    </row>
    <row r="784" spans="1:1" ht="14.25" customHeight="1">
      <c r="A784" s="23"/>
    </row>
    <row r="785" spans="1:1" ht="14.25" customHeight="1">
      <c r="A785" s="23"/>
    </row>
    <row r="786" spans="1:1" ht="14.25" customHeight="1">
      <c r="A786" s="23"/>
    </row>
    <row r="787" spans="1:1" ht="14.25" customHeight="1">
      <c r="A787" s="23"/>
    </row>
    <row r="788" spans="1:1" ht="14.25" customHeight="1">
      <c r="A788" s="23"/>
    </row>
    <row r="789" spans="1:1" ht="14.25" customHeight="1">
      <c r="A789" s="23"/>
    </row>
    <row r="790" spans="1:1" ht="14.25" customHeight="1">
      <c r="A790" s="23"/>
    </row>
    <row r="791" spans="1:1" ht="14.25" customHeight="1">
      <c r="A791" s="23"/>
    </row>
    <row r="792" spans="1:1" ht="14.25" customHeight="1">
      <c r="A792" s="23"/>
    </row>
    <row r="793" spans="1:1" ht="14.25" customHeight="1">
      <c r="A793" s="23"/>
    </row>
    <row r="794" spans="1:1" ht="14.25" customHeight="1">
      <c r="A794" s="23"/>
    </row>
    <row r="795" spans="1:1" ht="14.25" customHeight="1">
      <c r="A795" s="23"/>
    </row>
    <row r="796" spans="1:1" ht="14.25" customHeight="1">
      <c r="A796" s="23"/>
    </row>
    <row r="797" spans="1:1" ht="14.25" customHeight="1">
      <c r="A797" s="23"/>
    </row>
    <row r="798" spans="1:1" ht="14.25" customHeight="1">
      <c r="A798" s="23"/>
    </row>
    <row r="799" spans="1:1" ht="14.25" customHeight="1">
      <c r="A799" s="23"/>
    </row>
    <row r="800" spans="1:1" ht="14.25" customHeight="1">
      <c r="A800" s="23"/>
    </row>
    <row r="801" spans="1:1" ht="14.25" customHeight="1">
      <c r="A801" s="23"/>
    </row>
    <row r="802" spans="1:1" ht="14.25" customHeight="1">
      <c r="A802" s="23"/>
    </row>
    <row r="803" spans="1:1" ht="14.25" customHeight="1">
      <c r="A803" s="23"/>
    </row>
    <row r="804" spans="1:1" ht="14.25" customHeight="1">
      <c r="A804" s="23"/>
    </row>
    <row r="805" spans="1:1" ht="14.25" customHeight="1">
      <c r="A805" s="23"/>
    </row>
    <row r="806" spans="1:1" ht="14.25" customHeight="1">
      <c r="A806" s="23"/>
    </row>
    <row r="807" spans="1:1" ht="14.25" customHeight="1">
      <c r="A807" s="23"/>
    </row>
    <row r="808" spans="1:1" ht="14.25" customHeight="1">
      <c r="A808" s="23"/>
    </row>
    <row r="809" spans="1:1" ht="14.25" customHeight="1">
      <c r="A809" s="23"/>
    </row>
    <row r="810" spans="1:1" ht="14.25" customHeight="1">
      <c r="A810" s="23"/>
    </row>
    <row r="811" spans="1:1" ht="14.25" customHeight="1">
      <c r="A811" s="23"/>
    </row>
    <row r="812" spans="1:1" ht="14.25" customHeight="1">
      <c r="A812" s="23"/>
    </row>
    <row r="813" spans="1:1" ht="14.25" customHeight="1">
      <c r="A813" s="23"/>
    </row>
    <row r="814" spans="1:1" ht="14.25" customHeight="1">
      <c r="A814" s="23"/>
    </row>
    <row r="815" spans="1:1" ht="14.25" customHeight="1">
      <c r="A815" s="23"/>
    </row>
    <row r="816" spans="1:1" ht="14.25" customHeight="1">
      <c r="A816" s="23"/>
    </row>
    <row r="817" spans="1:1" ht="14.25" customHeight="1">
      <c r="A817" s="23"/>
    </row>
    <row r="818" spans="1:1" ht="14.25" customHeight="1">
      <c r="A818" s="23"/>
    </row>
    <row r="819" spans="1:1" ht="14.25" customHeight="1">
      <c r="A819" s="23"/>
    </row>
    <row r="820" spans="1:1" ht="14.25" customHeight="1">
      <c r="A820" s="23"/>
    </row>
    <row r="821" spans="1:1" ht="14.25" customHeight="1">
      <c r="A821" s="23"/>
    </row>
    <row r="822" spans="1:1" ht="14.25" customHeight="1">
      <c r="A822" s="23"/>
    </row>
    <row r="823" spans="1:1" ht="14.25" customHeight="1">
      <c r="A823" s="23"/>
    </row>
    <row r="824" spans="1:1" ht="14.25" customHeight="1">
      <c r="A824" s="23"/>
    </row>
    <row r="825" spans="1:1" ht="14.25" customHeight="1">
      <c r="A825" s="23"/>
    </row>
    <row r="826" spans="1:1" ht="14.25" customHeight="1">
      <c r="A826" s="23"/>
    </row>
    <row r="827" spans="1:1" ht="14.25" customHeight="1">
      <c r="A827" s="23"/>
    </row>
    <row r="828" spans="1:1" ht="14.25" customHeight="1">
      <c r="A828" s="23"/>
    </row>
    <row r="829" spans="1:1" ht="14.25" customHeight="1">
      <c r="A829" s="23"/>
    </row>
    <row r="830" spans="1:1" ht="14.25" customHeight="1">
      <c r="A830" s="23"/>
    </row>
    <row r="831" spans="1:1" ht="14.25" customHeight="1">
      <c r="A831" s="23"/>
    </row>
    <row r="832" spans="1:1" ht="14.25" customHeight="1">
      <c r="A832" s="23"/>
    </row>
    <row r="833" spans="1:1" ht="14.25" customHeight="1">
      <c r="A833" s="23"/>
    </row>
    <row r="834" spans="1:1" ht="14.25" customHeight="1">
      <c r="A834" s="23"/>
    </row>
    <row r="835" spans="1:1" ht="14.25" customHeight="1">
      <c r="A835" s="23"/>
    </row>
    <row r="836" spans="1:1" ht="14.25" customHeight="1">
      <c r="A836" s="23"/>
    </row>
    <row r="837" spans="1:1" ht="14.25" customHeight="1">
      <c r="A837" s="23"/>
    </row>
    <row r="838" spans="1:1" ht="14.25" customHeight="1">
      <c r="A838" s="23"/>
    </row>
    <row r="839" spans="1:1" ht="14.25" customHeight="1">
      <c r="A839" s="23"/>
    </row>
    <row r="840" spans="1:1" ht="14.25" customHeight="1">
      <c r="A840" s="23"/>
    </row>
    <row r="841" spans="1:1" ht="14.25" customHeight="1">
      <c r="A841" s="23"/>
    </row>
    <row r="842" spans="1:1" ht="14.25" customHeight="1">
      <c r="A842" s="23"/>
    </row>
    <row r="843" spans="1:1" ht="14.25" customHeight="1">
      <c r="A843" s="23"/>
    </row>
    <row r="844" spans="1:1" ht="14.25" customHeight="1">
      <c r="A844" s="23"/>
    </row>
    <row r="845" spans="1:1" ht="14.25" customHeight="1">
      <c r="A845" s="23"/>
    </row>
    <row r="846" spans="1:1" ht="14.25" customHeight="1">
      <c r="A846" s="23"/>
    </row>
    <row r="847" spans="1:1" ht="14.25" customHeight="1">
      <c r="A847" s="23"/>
    </row>
    <row r="848" spans="1:1" ht="14.25" customHeight="1">
      <c r="A848" s="23"/>
    </row>
    <row r="849" spans="1:1" ht="14.25" customHeight="1">
      <c r="A849" s="23"/>
    </row>
    <row r="850" spans="1:1" ht="14.25" customHeight="1">
      <c r="A850" s="23"/>
    </row>
    <row r="851" spans="1:1" ht="14.25" customHeight="1">
      <c r="A851" s="23"/>
    </row>
    <row r="852" spans="1:1" ht="14.25" customHeight="1">
      <c r="A852" s="23"/>
    </row>
    <row r="853" spans="1:1" ht="14.25" customHeight="1">
      <c r="A853" s="23"/>
    </row>
    <row r="854" spans="1:1" ht="14.25" customHeight="1">
      <c r="A854" s="23"/>
    </row>
    <row r="855" spans="1:1" ht="14.25" customHeight="1">
      <c r="A855" s="23"/>
    </row>
    <row r="856" spans="1:1" ht="14.25" customHeight="1">
      <c r="A856" s="23"/>
    </row>
    <row r="857" spans="1:1" ht="14.25" customHeight="1">
      <c r="A857" s="23"/>
    </row>
    <row r="858" spans="1:1" ht="14.25" customHeight="1">
      <c r="A858" s="23"/>
    </row>
    <row r="859" spans="1:1" ht="14.25" customHeight="1">
      <c r="A859" s="23"/>
    </row>
    <row r="860" spans="1:1" ht="14.25" customHeight="1">
      <c r="A860" s="23"/>
    </row>
    <row r="861" spans="1:1" ht="14.25" customHeight="1">
      <c r="A861" s="23"/>
    </row>
    <row r="862" spans="1:1" ht="14.25" customHeight="1">
      <c r="A862" s="23"/>
    </row>
    <row r="863" spans="1:1" ht="14.25" customHeight="1">
      <c r="A863" s="23"/>
    </row>
    <row r="864" spans="1:1" ht="14.25" customHeight="1">
      <c r="A864" s="23"/>
    </row>
    <row r="865" spans="1:1" ht="14.25" customHeight="1">
      <c r="A865" s="23"/>
    </row>
    <row r="866" spans="1:1" ht="14.25" customHeight="1">
      <c r="A866" s="23"/>
    </row>
    <row r="867" spans="1:1" ht="14.25" customHeight="1">
      <c r="A867" s="23"/>
    </row>
    <row r="868" spans="1:1" ht="14.25" customHeight="1">
      <c r="A868" s="23"/>
    </row>
    <row r="869" spans="1:1" ht="14.25" customHeight="1">
      <c r="A869" s="23"/>
    </row>
    <row r="870" spans="1:1" ht="14.25" customHeight="1">
      <c r="A870" s="23"/>
    </row>
    <row r="871" spans="1:1" ht="14.25" customHeight="1">
      <c r="A871" s="23"/>
    </row>
    <row r="872" spans="1:1" ht="14.25" customHeight="1">
      <c r="A872" s="23"/>
    </row>
    <row r="873" spans="1:1" ht="14.25" customHeight="1">
      <c r="A873" s="23"/>
    </row>
    <row r="874" spans="1:1" ht="14.25" customHeight="1">
      <c r="A874" s="23"/>
    </row>
    <row r="875" spans="1:1" ht="14.25" customHeight="1">
      <c r="A875" s="23"/>
    </row>
    <row r="876" spans="1:1" ht="14.25" customHeight="1">
      <c r="A876" s="23"/>
    </row>
    <row r="877" spans="1:1" ht="14.25" customHeight="1">
      <c r="A877" s="23"/>
    </row>
    <row r="878" spans="1:1" ht="14.25" customHeight="1">
      <c r="A878" s="23"/>
    </row>
    <row r="879" spans="1:1" ht="14.25" customHeight="1">
      <c r="A879" s="23"/>
    </row>
    <row r="880" spans="1:1" ht="14.25" customHeight="1">
      <c r="A880" s="23"/>
    </row>
    <row r="881" spans="1:1" ht="14.25" customHeight="1">
      <c r="A881" s="23"/>
    </row>
    <row r="882" spans="1:1" ht="14.25" customHeight="1">
      <c r="A882" s="23"/>
    </row>
    <row r="883" spans="1:1" ht="14.25" customHeight="1">
      <c r="A883" s="23"/>
    </row>
    <row r="884" spans="1:1" ht="14.25" customHeight="1">
      <c r="A884" s="23"/>
    </row>
    <row r="885" spans="1:1" ht="14.25" customHeight="1">
      <c r="A885" s="23"/>
    </row>
    <row r="886" spans="1:1" ht="14.25" customHeight="1">
      <c r="A886" s="23"/>
    </row>
    <row r="887" spans="1:1" ht="14.25" customHeight="1">
      <c r="A887" s="23"/>
    </row>
    <row r="888" spans="1:1" ht="14.25" customHeight="1">
      <c r="A888" s="23"/>
    </row>
    <row r="889" spans="1:1" ht="14.25" customHeight="1">
      <c r="A889" s="23"/>
    </row>
    <row r="890" spans="1:1" ht="14.25" customHeight="1">
      <c r="A890" s="23"/>
    </row>
    <row r="891" spans="1:1" ht="14.25" customHeight="1">
      <c r="A891" s="23"/>
    </row>
    <row r="892" spans="1:1" ht="14.25" customHeight="1">
      <c r="A892" s="23"/>
    </row>
    <row r="893" spans="1:1" ht="14.25" customHeight="1">
      <c r="A893" s="23"/>
    </row>
    <row r="894" spans="1:1" ht="14.25" customHeight="1">
      <c r="A894" s="23"/>
    </row>
    <row r="895" spans="1:1" ht="14.25" customHeight="1">
      <c r="A895" s="23"/>
    </row>
    <row r="896" spans="1:1" ht="14.25" customHeight="1">
      <c r="A896" s="23"/>
    </row>
    <row r="897" spans="1:1" ht="14.25" customHeight="1">
      <c r="A897" s="23"/>
    </row>
    <row r="898" spans="1:1" ht="14.25" customHeight="1">
      <c r="A898" s="23"/>
    </row>
    <row r="899" spans="1:1" ht="14.25" customHeight="1">
      <c r="A899" s="23"/>
    </row>
    <row r="900" spans="1:1" ht="14.25" customHeight="1">
      <c r="A900" s="23"/>
    </row>
    <row r="901" spans="1:1" ht="14.25" customHeight="1">
      <c r="A901" s="23"/>
    </row>
    <row r="902" spans="1:1" ht="14.25" customHeight="1">
      <c r="A902" s="23"/>
    </row>
    <row r="903" spans="1:1" ht="14.25" customHeight="1">
      <c r="A903" s="23"/>
    </row>
    <row r="904" spans="1:1" ht="14.25" customHeight="1">
      <c r="A904" s="23"/>
    </row>
    <row r="905" spans="1:1" ht="14.25" customHeight="1">
      <c r="A905" s="23"/>
    </row>
    <row r="906" spans="1:1" ht="14.25" customHeight="1">
      <c r="A906" s="23"/>
    </row>
    <row r="907" spans="1:1" ht="14.25" customHeight="1">
      <c r="A907" s="23"/>
    </row>
    <row r="908" spans="1:1" ht="14.25" customHeight="1">
      <c r="A908" s="23"/>
    </row>
    <row r="909" spans="1:1" ht="14.25" customHeight="1">
      <c r="A909" s="23"/>
    </row>
    <row r="910" spans="1:1" ht="14.25" customHeight="1">
      <c r="A910" s="23"/>
    </row>
    <row r="911" spans="1:1" ht="14.25" customHeight="1">
      <c r="A911" s="23"/>
    </row>
    <row r="912" spans="1:1" ht="14.25" customHeight="1">
      <c r="A912" s="23"/>
    </row>
    <row r="913" spans="1:1" ht="14.25" customHeight="1">
      <c r="A913" s="23"/>
    </row>
    <row r="914" spans="1:1" ht="14.25" customHeight="1">
      <c r="A914" s="23"/>
    </row>
    <row r="915" spans="1:1" ht="14.25" customHeight="1">
      <c r="A915" s="23"/>
    </row>
    <row r="916" spans="1:1" ht="14.25" customHeight="1">
      <c r="A916" s="23"/>
    </row>
    <row r="917" spans="1:1" ht="14.25" customHeight="1">
      <c r="A917" s="23"/>
    </row>
    <row r="918" spans="1:1" ht="14.25" customHeight="1">
      <c r="A918" s="23"/>
    </row>
    <row r="919" spans="1:1" ht="14.25" customHeight="1">
      <c r="A919" s="23"/>
    </row>
    <row r="920" spans="1:1" ht="14.25" customHeight="1">
      <c r="A920" s="23"/>
    </row>
    <row r="921" spans="1:1" ht="14.25" customHeight="1">
      <c r="A921" s="23"/>
    </row>
    <row r="922" spans="1:1" ht="14.25" customHeight="1">
      <c r="A922" s="23"/>
    </row>
    <row r="923" spans="1:1" ht="14.25" customHeight="1">
      <c r="A923" s="23"/>
    </row>
    <row r="924" spans="1:1" ht="14.25" customHeight="1">
      <c r="A924" s="23"/>
    </row>
    <row r="925" spans="1:1" ht="14.25" customHeight="1">
      <c r="A925" s="23"/>
    </row>
    <row r="926" spans="1:1" ht="14.25" customHeight="1">
      <c r="A926" s="23"/>
    </row>
    <row r="927" spans="1:1" ht="14.25" customHeight="1">
      <c r="A927" s="23"/>
    </row>
    <row r="928" spans="1:1" ht="14.25" customHeight="1">
      <c r="A928" s="23"/>
    </row>
    <row r="929" spans="1:1" ht="14.25" customHeight="1">
      <c r="A929" s="23"/>
    </row>
    <row r="930" spans="1:1" ht="14.25" customHeight="1">
      <c r="A930" s="23"/>
    </row>
    <row r="931" spans="1:1" ht="14.25" customHeight="1">
      <c r="A931" s="23"/>
    </row>
    <row r="932" spans="1:1" ht="14.25" customHeight="1">
      <c r="A932" s="23"/>
    </row>
    <row r="933" spans="1:1" ht="14.25" customHeight="1">
      <c r="A933" s="23"/>
    </row>
    <row r="934" spans="1:1" ht="14.25" customHeight="1">
      <c r="A934" s="23"/>
    </row>
    <row r="935" spans="1:1" ht="14.25" customHeight="1">
      <c r="A935" s="23"/>
    </row>
    <row r="936" spans="1:1" ht="14.25" customHeight="1">
      <c r="A936" s="23"/>
    </row>
    <row r="937" spans="1:1" ht="14.25" customHeight="1">
      <c r="A937" s="23"/>
    </row>
    <row r="938" spans="1:1" ht="14.25" customHeight="1">
      <c r="A938" s="23"/>
    </row>
    <row r="939" spans="1:1" ht="14.25" customHeight="1">
      <c r="A939" s="23"/>
    </row>
    <row r="940" spans="1:1" ht="14.25" customHeight="1">
      <c r="A940" s="23"/>
    </row>
    <row r="941" spans="1:1" ht="14.25" customHeight="1">
      <c r="A941" s="23"/>
    </row>
    <row r="942" spans="1:1" ht="14.25" customHeight="1">
      <c r="A942" s="23"/>
    </row>
    <row r="943" spans="1:1" ht="14.25" customHeight="1">
      <c r="A943" s="23"/>
    </row>
    <row r="944" spans="1:1" ht="14.25" customHeight="1">
      <c r="A944" s="23"/>
    </row>
    <row r="945" spans="1:1" ht="14.25" customHeight="1">
      <c r="A945" s="23"/>
    </row>
    <row r="946" spans="1:1" ht="14.25" customHeight="1">
      <c r="A946" s="23"/>
    </row>
    <row r="947" spans="1:1" ht="14.25" customHeight="1">
      <c r="A947" s="23"/>
    </row>
    <row r="948" spans="1:1" ht="14.25" customHeight="1">
      <c r="A948" s="23"/>
    </row>
    <row r="949" spans="1:1" ht="14.25" customHeight="1">
      <c r="A949" s="23"/>
    </row>
    <row r="950" spans="1:1" ht="14.25" customHeight="1">
      <c r="A950" s="23"/>
    </row>
    <row r="951" spans="1:1" ht="14.25" customHeight="1">
      <c r="A951" s="23"/>
    </row>
    <row r="952" spans="1:1" ht="14.25" customHeight="1">
      <c r="A952" s="23"/>
    </row>
    <row r="953" spans="1:1" ht="14.25" customHeight="1">
      <c r="A953" s="23"/>
    </row>
    <row r="954" spans="1:1" ht="14.25" customHeight="1">
      <c r="A954" s="23"/>
    </row>
    <row r="955" spans="1:1" ht="14.25" customHeight="1">
      <c r="A955" s="23"/>
    </row>
    <row r="956" spans="1:1" ht="14.25" customHeight="1">
      <c r="A956" s="23"/>
    </row>
    <row r="957" spans="1:1" ht="14.25" customHeight="1">
      <c r="A957" s="23"/>
    </row>
    <row r="958" spans="1:1" ht="14.25" customHeight="1">
      <c r="A958" s="23"/>
    </row>
    <row r="959" spans="1:1" ht="14.25" customHeight="1">
      <c r="A959" s="23"/>
    </row>
    <row r="960" spans="1:1" ht="14.25" customHeight="1">
      <c r="A960" s="23"/>
    </row>
    <row r="961" spans="1:1" ht="14.25" customHeight="1">
      <c r="A961" s="23"/>
    </row>
    <row r="962" spans="1:1" ht="14.25" customHeight="1">
      <c r="A962" s="23"/>
    </row>
    <row r="963" spans="1:1" ht="14.25" customHeight="1">
      <c r="A963" s="23"/>
    </row>
    <row r="964" spans="1:1" ht="14.25" customHeight="1">
      <c r="A964" s="23"/>
    </row>
    <row r="965" spans="1:1" ht="14.25" customHeight="1">
      <c r="A965" s="23"/>
    </row>
    <row r="966" spans="1:1" ht="14.25" customHeight="1">
      <c r="A966" s="23"/>
    </row>
    <row r="967" spans="1:1" ht="14.25" customHeight="1">
      <c r="A967" s="23"/>
    </row>
    <row r="968" spans="1:1" ht="14.25" customHeight="1">
      <c r="A968" s="23"/>
    </row>
    <row r="969" spans="1:1" ht="14.25" customHeight="1">
      <c r="A969" s="23"/>
    </row>
    <row r="970" spans="1:1" ht="14.25" customHeight="1">
      <c r="A970" s="23"/>
    </row>
    <row r="971" spans="1:1" ht="14.25" customHeight="1">
      <c r="A971" s="23"/>
    </row>
    <row r="972" spans="1:1" ht="14.25" customHeight="1">
      <c r="A972" s="23"/>
    </row>
    <row r="973" spans="1:1" ht="14.25" customHeight="1">
      <c r="A973" s="23"/>
    </row>
    <row r="974" spans="1:1" ht="14.25" customHeight="1">
      <c r="A974" s="23"/>
    </row>
    <row r="975" spans="1:1" ht="14.25" customHeight="1">
      <c r="A975" s="23"/>
    </row>
    <row r="976" spans="1:1" ht="14.25" customHeight="1">
      <c r="A976" s="23"/>
    </row>
    <row r="977" spans="1:1" ht="14.25" customHeight="1">
      <c r="A977" s="23"/>
    </row>
    <row r="978" spans="1:1" ht="14.25" customHeight="1">
      <c r="A978" s="23"/>
    </row>
    <row r="979" spans="1:1" ht="14.25" customHeight="1">
      <c r="A979" s="23"/>
    </row>
    <row r="980" spans="1:1" ht="14.25" customHeight="1">
      <c r="A980" s="23"/>
    </row>
    <row r="981" spans="1:1" ht="14.25" customHeight="1">
      <c r="A981" s="23"/>
    </row>
    <row r="982" spans="1:1" ht="14.25" customHeight="1">
      <c r="A982" s="23"/>
    </row>
    <row r="983" spans="1:1" ht="14.25" customHeight="1">
      <c r="A983" s="23"/>
    </row>
    <row r="984" spans="1:1" ht="14.25" customHeight="1">
      <c r="A984" s="23"/>
    </row>
    <row r="985" spans="1:1" ht="14.25" customHeight="1">
      <c r="A985" s="23"/>
    </row>
    <row r="986" spans="1:1" ht="14.25" customHeight="1">
      <c r="A986" s="23"/>
    </row>
    <row r="987" spans="1:1" ht="14.25" customHeight="1">
      <c r="A987" s="23"/>
    </row>
    <row r="988" spans="1:1" ht="14.25" customHeight="1">
      <c r="A988" s="23"/>
    </row>
    <row r="989" spans="1:1" ht="14.25" customHeight="1">
      <c r="A989" s="23"/>
    </row>
    <row r="990" spans="1:1" ht="14.25" customHeight="1">
      <c r="A990" s="23"/>
    </row>
    <row r="991" spans="1:1" ht="14.25" customHeight="1">
      <c r="A991" s="23"/>
    </row>
    <row r="992" spans="1:1" ht="14.25" customHeight="1">
      <c r="A992" s="23"/>
    </row>
    <row r="993" spans="1:1" ht="14.25" customHeight="1">
      <c r="A993" s="23"/>
    </row>
    <row r="994" spans="1:1" ht="14.25" customHeight="1">
      <c r="A994" s="23"/>
    </row>
    <row r="995" spans="1:1" ht="14.25" customHeight="1">
      <c r="A995" s="23"/>
    </row>
    <row r="996" spans="1:1" ht="14.25" customHeight="1">
      <c r="A996" s="23"/>
    </row>
    <row r="997" spans="1:1" ht="14.25" customHeight="1">
      <c r="A997" s="23"/>
    </row>
    <row r="998" spans="1:1" ht="14.25" customHeight="1">
      <c r="A998" s="23"/>
    </row>
    <row r="999" spans="1:1" ht="14.25" customHeight="1">
      <c r="A999" s="23"/>
    </row>
    <row r="1000" spans="1:1" ht="14.25" customHeight="1">
      <c r="A1000" s="2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selection activeCell="C30" sqref="C30"/>
    </sheetView>
  </sheetViews>
  <sheetFormatPr defaultColWidth="12.6640625" defaultRowHeight="15.75" customHeight="1"/>
  <cols>
    <col min="1" max="1" width="8.33203125" customWidth="1"/>
    <col min="2" max="2" width="11.21875" customWidth="1"/>
    <col min="3" max="3" width="14.33203125" customWidth="1"/>
    <col min="4" max="5" width="8.21875" customWidth="1"/>
    <col min="6" max="6" width="7.109375" customWidth="1"/>
    <col min="7" max="7" width="13.21875" customWidth="1"/>
    <col min="8" max="9" width="7.109375" customWidth="1"/>
    <col min="10" max="10" width="14.77734375" customWidth="1"/>
    <col min="11" max="11" width="6.88671875" customWidth="1"/>
    <col min="12" max="12" width="9.77734375" customWidth="1"/>
    <col min="13" max="13" width="14.33203125" customWidth="1"/>
    <col min="14" max="15" width="8.21875" customWidth="1"/>
    <col min="16" max="16" width="7.109375" customWidth="1"/>
    <col min="17" max="17" width="13.21875" customWidth="1"/>
    <col min="18" max="18" width="4.33203125" customWidth="1"/>
    <col min="19" max="19" width="5.109375" customWidth="1"/>
    <col min="20" max="20" width="7.77734375" customWidth="1"/>
    <col min="21" max="21" width="6.88671875" customWidth="1"/>
    <col min="22" max="22" width="9.77734375" customWidth="1"/>
    <col min="23" max="23" width="14.33203125" customWidth="1"/>
    <col min="24" max="25" width="8.21875" customWidth="1"/>
    <col min="26" max="26" width="7.109375" customWidth="1"/>
    <col min="27" max="27" width="13.44140625" customWidth="1"/>
    <col min="28" max="28" width="4.33203125" customWidth="1"/>
    <col min="29" max="29" width="5.109375" customWidth="1"/>
    <col min="30" max="33" width="7.77734375" customWidth="1"/>
  </cols>
  <sheetData>
    <row r="1" spans="1:33" ht="14.25" customHeight="1">
      <c r="A1" s="1"/>
    </row>
    <row r="2" spans="1:33" ht="14.25" customHeight="1">
      <c r="A2" s="45"/>
    </row>
    <row r="3" spans="1:33" ht="14.25" customHeight="1">
      <c r="A3" s="46" t="s">
        <v>33</v>
      </c>
      <c r="E3" s="47"/>
      <c r="K3" s="46" t="s">
        <v>34</v>
      </c>
      <c r="U3" s="46" t="s">
        <v>35</v>
      </c>
    </row>
    <row r="4" spans="1:33" ht="14.25" customHeight="1">
      <c r="A4" s="24" t="s">
        <v>14</v>
      </c>
      <c r="B4" s="24" t="s">
        <v>1</v>
      </c>
      <c r="C4" s="24" t="s">
        <v>2</v>
      </c>
      <c r="D4" s="24" t="s">
        <v>3</v>
      </c>
      <c r="E4" s="48" t="s">
        <v>4</v>
      </c>
      <c r="F4" s="25"/>
      <c r="G4" s="25"/>
      <c r="H4" s="25"/>
      <c r="I4" s="25"/>
      <c r="J4" s="25"/>
      <c r="K4" s="24" t="s">
        <v>14</v>
      </c>
      <c r="L4" s="24" t="s">
        <v>1</v>
      </c>
      <c r="M4" s="24" t="s">
        <v>2</v>
      </c>
      <c r="N4" s="24" t="s">
        <v>3</v>
      </c>
      <c r="O4" s="24" t="s">
        <v>4</v>
      </c>
      <c r="P4" s="25"/>
      <c r="Q4" s="25"/>
      <c r="R4" s="25"/>
      <c r="S4" s="25"/>
      <c r="T4" s="25"/>
      <c r="U4" s="24" t="s">
        <v>14</v>
      </c>
      <c r="V4" s="24" t="s">
        <v>1</v>
      </c>
      <c r="W4" s="24" t="s">
        <v>2</v>
      </c>
      <c r="X4" s="24" t="s">
        <v>3</v>
      </c>
      <c r="Y4" s="24" t="s">
        <v>4</v>
      </c>
      <c r="Z4" s="25"/>
      <c r="AA4" s="25"/>
      <c r="AB4" s="25"/>
      <c r="AC4" s="25"/>
      <c r="AD4" s="25"/>
      <c r="AE4" s="25"/>
      <c r="AF4" s="25"/>
      <c r="AG4" s="25"/>
    </row>
    <row r="5" spans="1:33" ht="14.25" customHeight="1">
      <c r="A5" s="27" t="s">
        <v>17</v>
      </c>
      <c r="B5" s="6">
        <v>2842</v>
      </c>
      <c r="C5" s="6">
        <v>3593</v>
      </c>
      <c r="D5" s="6">
        <v>18866045</v>
      </c>
      <c r="E5" s="49">
        <v>9389215</v>
      </c>
      <c r="K5" s="3"/>
      <c r="L5" s="6"/>
      <c r="M5" s="6"/>
      <c r="N5" s="6">
        <v>0</v>
      </c>
      <c r="O5" s="6">
        <v>0</v>
      </c>
      <c r="U5" s="3"/>
      <c r="V5" s="6"/>
      <c r="W5" s="6"/>
      <c r="X5" s="6">
        <v>0</v>
      </c>
      <c r="Y5" s="6">
        <v>0</v>
      </c>
    </row>
    <row r="6" spans="1:33" ht="14.25" customHeight="1">
      <c r="A6" s="27" t="s">
        <v>18</v>
      </c>
      <c r="B6" s="6">
        <v>529</v>
      </c>
      <c r="C6" s="6">
        <v>818</v>
      </c>
      <c r="D6" s="6">
        <v>4377010</v>
      </c>
      <c r="E6" s="49">
        <v>2173325</v>
      </c>
      <c r="K6" s="27" t="s">
        <v>18</v>
      </c>
      <c r="L6" s="6">
        <v>6161</v>
      </c>
      <c r="M6" s="6">
        <v>7980</v>
      </c>
      <c r="N6" s="6">
        <v>50815985</v>
      </c>
      <c r="O6" s="6">
        <v>26164050</v>
      </c>
      <c r="U6" s="3"/>
      <c r="V6" s="6"/>
      <c r="W6" s="6"/>
      <c r="X6" s="6">
        <v>0</v>
      </c>
      <c r="Y6" s="6">
        <v>0</v>
      </c>
    </row>
    <row r="7" spans="1:33" ht="14.25" customHeight="1">
      <c r="A7" s="27" t="s">
        <v>19</v>
      </c>
      <c r="B7" s="6">
        <v>237</v>
      </c>
      <c r="C7" s="6">
        <v>325</v>
      </c>
      <c r="D7" s="6">
        <v>1908940</v>
      </c>
      <c r="E7" s="49">
        <v>942755</v>
      </c>
      <c r="K7" s="27" t="s">
        <v>19</v>
      </c>
      <c r="L7" s="6">
        <v>619</v>
      </c>
      <c r="M7" s="6">
        <v>939</v>
      </c>
      <c r="N7" s="6">
        <v>5396435</v>
      </c>
      <c r="O7" s="6">
        <v>2596110</v>
      </c>
      <c r="U7" s="3"/>
      <c r="V7" s="6"/>
      <c r="W7" s="6"/>
      <c r="X7" s="6">
        <v>0</v>
      </c>
      <c r="Y7" s="6">
        <v>0</v>
      </c>
    </row>
    <row r="8" spans="1:33" ht="14.25" customHeight="1">
      <c r="A8" s="27" t="s">
        <v>20</v>
      </c>
      <c r="B8" s="6">
        <v>318</v>
      </c>
      <c r="C8" s="6">
        <v>467</v>
      </c>
      <c r="D8" s="6">
        <v>2357300</v>
      </c>
      <c r="E8" s="49">
        <v>1154450</v>
      </c>
      <c r="K8" s="27" t="s">
        <v>20</v>
      </c>
      <c r="L8" s="6">
        <v>546</v>
      </c>
      <c r="M8" s="6">
        <v>855</v>
      </c>
      <c r="N8" s="6">
        <v>4014505</v>
      </c>
      <c r="O8" s="6">
        <v>1990010</v>
      </c>
      <c r="U8" s="3"/>
      <c r="V8" s="6"/>
      <c r="W8" s="6"/>
      <c r="X8" s="6">
        <v>0</v>
      </c>
      <c r="Y8" s="6">
        <v>0</v>
      </c>
    </row>
    <row r="9" spans="1:33" ht="14.25" customHeight="1">
      <c r="A9" s="27" t="s">
        <v>21</v>
      </c>
      <c r="B9" s="6">
        <v>317</v>
      </c>
      <c r="C9" s="6">
        <v>468</v>
      </c>
      <c r="D9" s="6">
        <v>2213530</v>
      </c>
      <c r="E9" s="49">
        <v>1063370</v>
      </c>
      <c r="K9" s="27" t="s">
        <v>21</v>
      </c>
      <c r="L9" s="6">
        <v>451</v>
      </c>
      <c r="M9" s="6">
        <v>696</v>
      </c>
      <c r="N9" s="6">
        <v>3515930</v>
      </c>
      <c r="O9" s="6">
        <v>1742015</v>
      </c>
      <c r="U9" s="3"/>
      <c r="V9" s="6"/>
      <c r="W9" s="6"/>
      <c r="X9" s="6">
        <v>0</v>
      </c>
      <c r="Y9" s="6">
        <v>0</v>
      </c>
    </row>
    <row r="10" spans="1:33" ht="14.25" customHeight="1">
      <c r="A10" s="27" t="s">
        <v>22</v>
      </c>
      <c r="B10" s="6">
        <v>366</v>
      </c>
      <c r="C10" s="6">
        <v>615</v>
      </c>
      <c r="D10" s="6">
        <v>3017685</v>
      </c>
      <c r="E10" s="49">
        <v>1435610</v>
      </c>
      <c r="K10" s="27" t="s">
        <v>22</v>
      </c>
      <c r="L10" s="6">
        <v>939</v>
      </c>
      <c r="M10" s="6">
        <v>1579</v>
      </c>
      <c r="N10" s="6">
        <v>8754185</v>
      </c>
      <c r="O10" s="6">
        <v>4264700</v>
      </c>
      <c r="U10" s="27" t="s">
        <v>22</v>
      </c>
      <c r="V10" s="6">
        <v>5881</v>
      </c>
      <c r="W10" s="6">
        <v>7651</v>
      </c>
      <c r="X10" s="6">
        <v>46089890</v>
      </c>
      <c r="Y10" s="6">
        <v>22577830</v>
      </c>
    </row>
    <row r="11" spans="1:33" ht="14.25" customHeight="1">
      <c r="A11" s="27" t="s">
        <v>23</v>
      </c>
      <c r="B11" s="6">
        <v>234</v>
      </c>
      <c r="C11" s="6">
        <v>339</v>
      </c>
      <c r="D11" s="6">
        <v>1575365</v>
      </c>
      <c r="E11" s="49">
        <v>740795</v>
      </c>
      <c r="K11" s="27" t="s">
        <v>23</v>
      </c>
      <c r="L11" s="6">
        <v>418</v>
      </c>
      <c r="M11" s="6">
        <v>687</v>
      </c>
      <c r="N11" s="6">
        <v>3430020</v>
      </c>
      <c r="O11" s="6">
        <v>1596375</v>
      </c>
      <c r="U11" s="27" t="s">
        <v>23</v>
      </c>
      <c r="V11" s="6">
        <v>690</v>
      </c>
      <c r="W11" s="6">
        <v>1011</v>
      </c>
      <c r="X11" s="6">
        <v>5531845</v>
      </c>
      <c r="Y11" s="6">
        <v>2540340</v>
      </c>
    </row>
    <row r="12" spans="1:33" ht="14.25" customHeight="1">
      <c r="A12" s="27" t="s">
        <v>24</v>
      </c>
      <c r="B12" s="6">
        <v>254</v>
      </c>
      <c r="C12" s="6">
        <v>408</v>
      </c>
      <c r="D12" s="6">
        <v>1804770</v>
      </c>
      <c r="E12" s="49">
        <v>868560</v>
      </c>
      <c r="K12" s="27" t="s">
        <v>24</v>
      </c>
      <c r="L12" s="6">
        <v>442</v>
      </c>
      <c r="M12" s="6">
        <v>738</v>
      </c>
      <c r="N12" s="6">
        <v>3375460</v>
      </c>
      <c r="O12" s="6">
        <v>1614635</v>
      </c>
      <c r="U12" s="27" t="s">
        <v>24</v>
      </c>
      <c r="V12" s="6">
        <v>473</v>
      </c>
      <c r="W12" s="6">
        <v>675</v>
      </c>
      <c r="X12" s="6">
        <v>3571370</v>
      </c>
      <c r="Y12" s="6">
        <v>1677170</v>
      </c>
    </row>
    <row r="13" spans="1:33" ht="14.25" customHeight="1">
      <c r="A13" s="27" t="s">
        <v>25</v>
      </c>
      <c r="B13" s="6">
        <v>269</v>
      </c>
      <c r="C13" s="6">
        <v>385</v>
      </c>
      <c r="D13" s="6">
        <v>1582735</v>
      </c>
      <c r="E13" s="49">
        <v>742940</v>
      </c>
      <c r="K13" s="27" t="s">
        <v>25</v>
      </c>
      <c r="L13" s="6">
        <v>430</v>
      </c>
      <c r="M13" s="6">
        <v>731</v>
      </c>
      <c r="N13" s="6">
        <v>3476385</v>
      </c>
      <c r="O13" s="6">
        <v>1640210</v>
      </c>
      <c r="U13" s="27" t="s">
        <v>25</v>
      </c>
      <c r="V13" s="6">
        <v>420</v>
      </c>
      <c r="W13" s="6">
        <v>601</v>
      </c>
      <c r="X13" s="6">
        <v>2838000</v>
      </c>
      <c r="Y13" s="6">
        <v>1371040</v>
      </c>
    </row>
    <row r="14" spans="1:33" ht="14.25" customHeight="1">
      <c r="A14" s="27" t="s">
        <v>26</v>
      </c>
      <c r="B14" s="6">
        <v>358</v>
      </c>
      <c r="C14" s="6">
        <v>625</v>
      </c>
      <c r="D14" s="6">
        <v>3222065</v>
      </c>
      <c r="E14" s="49">
        <v>1519155</v>
      </c>
      <c r="K14" s="27" t="s">
        <v>26</v>
      </c>
      <c r="L14" s="6">
        <v>885</v>
      </c>
      <c r="M14" s="6">
        <v>1542</v>
      </c>
      <c r="N14" s="6">
        <v>8510590</v>
      </c>
      <c r="O14" s="6">
        <v>4095850</v>
      </c>
      <c r="U14" s="27" t="s">
        <v>26</v>
      </c>
      <c r="V14" s="6">
        <v>999</v>
      </c>
      <c r="W14" s="6">
        <v>1660</v>
      </c>
      <c r="X14" s="6">
        <v>8927160</v>
      </c>
      <c r="Y14" s="6">
        <v>4306665</v>
      </c>
    </row>
    <row r="15" spans="1:33" ht="14.25" customHeight="1">
      <c r="A15" s="27" t="s">
        <v>27</v>
      </c>
      <c r="B15" s="6">
        <v>220</v>
      </c>
      <c r="C15" s="6">
        <v>323</v>
      </c>
      <c r="D15" s="6">
        <v>1638945</v>
      </c>
      <c r="E15" s="49">
        <v>766755</v>
      </c>
      <c r="K15" s="27" t="s">
        <v>27</v>
      </c>
      <c r="L15" s="6">
        <v>381</v>
      </c>
      <c r="M15" s="6">
        <v>625</v>
      </c>
      <c r="N15" s="6">
        <v>3439535</v>
      </c>
      <c r="O15" s="6">
        <v>1651705</v>
      </c>
      <c r="U15" s="27" t="s">
        <v>27</v>
      </c>
      <c r="V15" s="6">
        <v>387</v>
      </c>
      <c r="W15" s="6">
        <v>562</v>
      </c>
      <c r="X15" s="6">
        <v>3135275</v>
      </c>
      <c r="Y15" s="6">
        <v>1509805</v>
      </c>
    </row>
    <row r="16" spans="1:33" ht="14.25" customHeight="1">
      <c r="A16" s="27" t="s">
        <v>28</v>
      </c>
      <c r="B16" s="6">
        <v>224</v>
      </c>
      <c r="C16" s="6">
        <v>338</v>
      </c>
      <c r="D16" s="6">
        <v>1742675</v>
      </c>
      <c r="E16" s="49">
        <v>828905</v>
      </c>
      <c r="K16" s="27" t="s">
        <v>28</v>
      </c>
      <c r="L16" s="6">
        <v>384</v>
      </c>
      <c r="M16" s="6">
        <v>654</v>
      </c>
      <c r="N16" s="6">
        <v>3467475</v>
      </c>
      <c r="O16" s="6">
        <v>1650495</v>
      </c>
      <c r="U16" s="27" t="s">
        <v>28</v>
      </c>
      <c r="V16" s="6">
        <v>343</v>
      </c>
      <c r="W16" s="6">
        <v>522</v>
      </c>
      <c r="X16" s="6">
        <v>2546775</v>
      </c>
      <c r="Y16" s="6">
        <v>1241075</v>
      </c>
    </row>
    <row r="17" spans="1:33" ht="14.25" customHeight="1">
      <c r="A17" s="27" t="s">
        <v>29</v>
      </c>
      <c r="B17" s="6">
        <v>230</v>
      </c>
      <c r="C17" s="6">
        <v>349</v>
      </c>
      <c r="D17" s="6">
        <v>1446720</v>
      </c>
      <c r="E17" s="49">
        <v>692780</v>
      </c>
      <c r="K17" s="27" t="s">
        <v>29</v>
      </c>
      <c r="L17" s="6">
        <v>351</v>
      </c>
      <c r="M17" s="6">
        <v>561</v>
      </c>
      <c r="N17" s="6">
        <v>2413840</v>
      </c>
      <c r="O17" s="6">
        <v>1158025</v>
      </c>
      <c r="U17" s="27" t="s">
        <v>29</v>
      </c>
      <c r="V17" s="6">
        <v>356</v>
      </c>
      <c r="W17" s="6">
        <v>518</v>
      </c>
      <c r="X17" s="6">
        <v>2251975</v>
      </c>
      <c r="Y17" s="6">
        <v>1074480</v>
      </c>
    </row>
    <row r="18" spans="1:33" ht="14.25" customHeight="1">
      <c r="A18" s="28" t="s">
        <v>30</v>
      </c>
      <c r="B18" s="8">
        <v>311</v>
      </c>
      <c r="C18" s="8">
        <v>523</v>
      </c>
      <c r="D18" s="8">
        <v>2693735</v>
      </c>
      <c r="E18" s="50">
        <v>1293325</v>
      </c>
      <c r="K18" s="28" t="s">
        <v>30</v>
      </c>
      <c r="L18" s="8">
        <v>743</v>
      </c>
      <c r="M18" s="8">
        <v>1364</v>
      </c>
      <c r="N18" s="8">
        <v>7542645</v>
      </c>
      <c r="O18" s="8">
        <v>3669875</v>
      </c>
      <c r="U18" s="28" t="s">
        <v>30</v>
      </c>
      <c r="V18" s="8">
        <v>778</v>
      </c>
      <c r="W18" s="8">
        <v>1300</v>
      </c>
      <c r="X18" s="8">
        <v>7285410</v>
      </c>
      <c r="Y18" s="8">
        <v>3469510</v>
      </c>
    </row>
    <row r="19" spans="1:33" ht="14.25" customHeight="1">
      <c r="A19" s="23"/>
    </row>
    <row r="20" spans="1:33" ht="14.25" customHeight="1">
      <c r="A20" s="23"/>
    </row>
    <row r="21" spans="1:33" ht="14.25" customHeight="1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 spans="1:33" ht="14.25" customHeight="1">
      <c r="A22" s="51" t="s">
        <v>14</v>
      </c>
      <c r="B22" s="51" t="s">
        <v>1</v>
      </c>
      <c r="C22" s="51" t="s">
        <v>2</v>
      </c>
      <c r="D22" s="51" t="s">
        <v>3</v>
      </c>
      <c r="E22" s="51" t="s">
        <v>4</v>
      </c>
      <c r="F22" s="51" t="s">
        <v>31</v>
      </c>
      <c r="G22" s="51" t="s">
        <v>32</v>
      </c>
      <c r="H22" s="51" t="s">
        <v>11</v>
      </c>
      <c r="I22" s="51" t="s">
        <v>12</v>
      </c>
      <c r="J22" s="25"/>
      <c r="K22" s="51" t="s">
        <v>14</v>
      </c>
      <c r="L22" s="51" t="s">
        <v>1</v>
      </c>
      <c r="M22" s="51" t="s">
        <v>2</v>
      </c>
      <c r="N22" s="51" t="s">
        <v>3</v>
      </c>
      <c r="O22" s="51" t="s">
        <v>4</v>
      </c>
      <c r="P22" s="51" t="s">
        <v>31</v>
      </c>
      <c r="Q22" s="51" t="s">
        <v>32</v>
      </c>
      <c r="R22" s="51" t="s">
        <v>11</v>
      </c>
      <c r="S22" s="51" t="s">
        <v>12</v>
      </c>
      <c r="U22" s="51" t="s">
        <v>14</v>
      </c>
      <c r="V22" s="51" t="s">
        <v>1</v>
      </c>
      <c r="W22" s="51" t="s">
        <v>2</v>
      </c>
      <c r="X22" s="51" t="s">
        <v>3</v>
      </c>
      <c r="Y22" s="51" t="s">
        <v>4</v>
      </c>
      <c r="Z22" s="51" t="s">
        <v>31</v>
      </c>
      <c r="AA22" s="51" t="s">
        <v>32</v>
      </c>
      <c r="AB22" s="51" t="s">
        <v>11</v>
      </c>
      <c r="AC22" s="51" t="s">
        <v>12</v>
      </c>
    </row>
    <row r="23" spans="1:33" ht="14.25" customHeight="1">
      <c r="A23" s="10" t="str">
        <f t="shared" ref="A23:E23" si="0">A5</f>
        <v>2021Q3</v>
      </c>
      <c r="B23" s="35">
        <f t="shared" si="0"/>
        <v>2842</v>
      </c>
      <c r="C23" s="35">
        <f t="shared" si="0"/>
        <v>3593</v>
      </c>
      <c r="D23" s="35">
        <f t="shared" si="0"/>
        <v>18866045</v>
      </c>
      <c r="E23" s="35">
        <f t="shared" si="0"/>
        <v>9389215</v>
      </c>
      <c r="F23" s="17">
        <f t="shared" ref="F23:F36" si="1">B5/$B$5</f>
        <v>1</v>
      </c>
      <c r="G23" s="36">
        <f t="shared" ref="G23:G36" si="2">D5/B5</f>
        <v>6638.2987332864177</v>
      </c>
      <c r="H23" s="15">
        <f t="shared" ref="H23:I23" si="3">C5/B5</f>
        <v>1.2642505277973257</v>
      </c>
      <c r="I23" s="36">
        <f t="shared" si="3"/>
        <v>5250.7779014750904</v>
      </c>
      <c r="L23" s="52"/>
      <c r="M23" s="35"/>
      <c r="N23" s="35"/>
      <c r="O23" s="35"/>
      <c r="P23" s="17"/>
      <c r="Q23" s="15"/>
      <c r="R23" s="15"/>
      <c r="S23" s="15"/>
      <c r="V23" s="52"/>
      <c r="W23" s="35"/>
      <c r="X23" s="35"/>
      <c r="Y23" s="35"/>
      <c r="Z23" s="17"/>
      <c r="AA23" s="15"/>
      <c r="AB23" s="15"/>
      <c r="AC23" s="15"/>
    </row>
    <row r="24" spans="1:33" ht="14.25" customHeight="1">
      <c r="A24" s="10" t="str">
        <f t="shared" ref="A24:E24" si="4">A6</f>
        <v>2021Q4</v>
      </c>
      <c r="B24" s="35">
        <f t="shared" si="4"/>
        <v>529</v>
      </c>
      <c r="C24" s="35">
        <f t="shared" si="4"/>
        <v>818</v>
      </c>
      <c r="D24" s="35">
        <f t="shared" si="4"/>
        <v>4377010</v>
      </c>
      <c r="E24" s="35">
        <f t="shared" si="4"/>
        <v>2173325</v>
      </c>
      <c r="F24" s="17">
        <f t="shared" si="1"/>
        <v>0.18613652357494723</v>
      </c>
      <c r="G24" s="36">
        <f t="shared" si="2"/>
        <v>8274.1209829867676</v>
      </c>
      <c r="H24" s="15">
        <f t="shared" ref="H24:I24" si="5">C6/B6</f>
        <v>1.5463137996219283</v>
      </c>
      <c r="I24" s="36">
        <f t="shared" si="5"/>
        <v>5350.867970660147</v>
      </c>
      <c r="K24" s="10" t="str">
        <f t="shared" ref="K24:O24" si="6">K6</f>
        <v>2021Q4</v>
      </c>
      <c r="L24" s="35">
        <f t="shared" si="6"/>
        <v>6161</v>
      </c>
      <c r="M24" s="35">
        <f t="shared" si="6"/>
        <v>7980</v>
      </c>
      <c r="N24" s="35">
        <f t="shared" si="6"/>
        <v>50815985</v>
      </c>
      <c r="O24" s="35">
        <f t="shared" si="6"/>
        <v>26164050</v>
      </c>
      <c r="P24" s="17">
        <f t="shared" ref="P24:P36" si="7">L6/$L$6</f>
        <v>1</v>
      </c>
      <c r="Q24" s="36">
        <f t="shared" ref="Q24:Q36" si="8">N6/L6</f>
        <v>8248.0092517448466</v>
      </c>
      <c r="R24" s="15">
        <f t="shared" ref="R24:S24" si="9">M6/L6</f>
        <v>1.2952442785262133</v>
      </c>
      <c r="S24" s="36">
        <f t="shared" si="9"/>
        <v>6367.917919799499</v>
      </c>
      <c r="V24" s="52"/>
      <c r="W24" s="35"/>
      <c r="X24" s="35"/>
      <c r="Y24" s="35"/>
      <c r="Z24" s="17"/>
      <c r="AA24" s="15"/>
      <c r="AB24" s="15"/>
      <c r="AC24" s="15"/>
    </row>
    <row r="25" spans="1:33" ht="14.25" customHeight="1">
      <c r="A25" s="10" t="str">
        <f t="shared" ref="A25:E25" si="10">A7</f>
        <v>2022Q1</v>
      </c>
      <c r="B25" s="35">
        <f t="shared" si="10"/>
        <v>237</v>
      </c>
      <c r="C25" s="35">
        <f t="shared" si="10"/>
        <v>325</v>
      </c>
      <c r="D25" s="35">
        <f t="shared" si="10"/>
        <v>1908940</v>
      </c>
      <c r="E25" s="35">
        <f t="shared" si="10"/>
        <v>942755</v>
      </c>
      <c r="F25" s="17">
        <f t="shared" si="1"/>
        <v>8.3391977480647431E-2</v>
      </c>
      <c r="G25" s="36">
        <f t="shared" si="2"/>
        <v>8054.5991561181436</v>
      </c>
      <c r="H25" s="15">
        <f t="shared" ref="H25:I25" si="11">C7/B7</f>
        <v>1.371308016877637</v>
      </c>
      <c r="I25" s="36">
        <f t="shared" si="11"/>
        <v>5873.6615384615388</v>
      </c>
      <c r="K25" s="10" t="str">
        <f t="shared" ref="K25:O25" si="12">K7</f>
        <v>2022Q1</v>
      </c>
      <c r="L25" s="35">
        <f t="shared" si="12"/>
        <v>619</v>
      </c>
      <c r="M25" s="35">
        <f t="shared" si="12"/>
        <v>939</v>
      </c>
      <c r="N25" s="35">
        <f t="shared" si="12"/>
        <v>5396435</v>
      </c>
      <c r="O25" s="35">
        <f t="shared" si="12"/>
        <v>2596110</v>
      </c>
      <c r="P25" s="17">
        <f t="shared" si="7"/>
        <v>0.10047070280798572</v>
      </c>
      <c r="Q25" s="36">
        <f t="shared" si="8"/>
        <v>8717.9886914378021</v>
      </c>
      <c r="R25" s="15">
        <f t="shared" ref="R25:S25" si="13">M7/L7</f>
        <v>1.5169628432956381</v>
      </c>
      <c r="S25" s="36">
        <f t="shared" si="13"/>
        <v>5747.0021299254522</v>
      </c>
      <c r="V25" s="52"/>
      <c r="W25" s="35"/>
      <c r="X25" s="35"/>
      <c r="Y25" s="35"/>
      <c r="Z25" s="17"/>
      <c r="AA25" s="15"/>
      <c r="AB25" s="15"/>
      <c r="AC25" s="15"/>
    </row>
    <row r="26" spans="1:33" ht="14.25" customHeight="1">
      <c r="A26" s="10" t="str">
        <f t="shared" ref="A26:E26" si="14">A8</f>
        <v>2022Q2</v>
      </c>
      <c r="B26" s="35">
        <f t="shared" si="14"/>
        <v>318</v>
      </c>
      <c r="C26" s="35">
        <f t="shared" si="14"/>
        <v>467</v>
      </c>
      <c r="D26" s="35">
        <f t="shared" si="14"/>
        <v>2357300</v>
      </c>
      <c r="E26" s="35">
        <f t="shared" si="14"/>
        <v>1154450</v>
      </c>
      <c r="F26" s="17">
        <f t="shared" si="1"/>
        <v>0.11189303307529909</v>
      </c>
      <c r="G26" s="36">
        <f t="shared" si="2"/>
        <v>7412.8930817610062</v>
      </c>
      <c r="H26" s="15">
        <f t="shared" ref="H26:I26" si="15">C8/B8</f>
        <v>1.4685534591194969</v>
      </c>
      <c r="I26" s="36">
        <f t="shared" si="15"/>
        <v>5047.751605995717</v>
      </c>
      <c r="K26" s="10" t="str">
        <f t="shared" ref="K26:O26" si="16">K8</f>
        <v>2022Q2</v>
      </c>
      <c r="L26" s="35">
        <f t="shared" si="16"/>
        <v>546</v>
      </c>
      <c r="M26" s="35">
        <f t="shared" si="16"/>
        <v>855</v>
      </c>
      <c r="N26" s="35">
        <f t="shared" si="16"/>
        <v>4014505</v>
      </c>
      <c r="O26" s="35">
        <f t="shared" si="16"/>
        <v>1990010</v>
      </c>
      <c r="P26" s="17">
        <f t="shared" si="7"/>
        <v>8.8621976951793538E-2</v>
      </c>
      <c r="Q26" s="36">
        <f t="shared" si="8"/>
        <v>7352.5732600732599</v>
      </c>
      <c r="R26" s="15">
        <f t="shared" ref="R26:S26" si="17">M8/L8</f>
        <v>1.5659340659340659</v>
      </c>
      <c r="S26" s="36">
        <f t="shared" si="17"/>
        <v>4695.3274853801167</v>
      </c>
      <c r="V26" s="52"/>
      <c r="W26" s="35"/>
      <c r="X26" s="35"/>
      <c r="Y26" s="35"/>
      <c r="Z26" s="17"/>
      <c r="AA26" s="15"/>
      <c r="AB26" s="15"/>
      <c r="AC26" s="15"/>
    </row>
    <row r="27" spans="1:33" ht="14.25" customHeight="1">
      <c r="A27" s="10" t="str">
        <f t="shared" ref="A27:E27" si="18">A9</f>
        <v>2022Q3</v>
      </c>
      <c r="B27" s="35">
        <f t="shared" si="18"/>
        <v>317</v>
      </c>
      <c r="C27" s="35">
        <f t="shared" si="18"/>
        <v>468</v>
      </c>
      <c r="D27" s="35">
        <f t="shared" si="18"/>
        <v>2213530</v>
      </c>
      <c r="E27" s="35">
        <f t="shared" si="18"/>
        <v>1063370</v>
      </c>
      <c r="F27" s="17">
        <f t="shared" si="1"/>
        <v>0.11154116819141449</v>
      </c>
      <c r="G27" s="36">
        <f t="shared" si="2"/>
        <v>6982.744479495268</v>
      </c>
      <c r="H27" s="15">
        <f t="shared" ref="H27:I27" si="19">C9/B9</f>
        <v>1.4763406940063091</v>
      </c>
      <c r="I27" s="36">
        <f t="shared" si="19"/>
        <v>4729.764957264957</v>
      </c>
      <c r="K27" s="10" t="str">
        <f t="shared" ref="K27:O27" si="20">K9</f>
        <v>2022Q3</v>
      </c>
      <c r="L27" s="35">
        <f t="shared" si="20"/>
        <v>451</v>
      </c>
      <c r="M27" s="35">
        <f t="shared" si="20"/>
        <v>696</v>
      </c>
      <c r="N27" s="35">
        <f t="shared" si="20"/>
        <v>3515930</v>
      </c>
      <c r="O27" s="35">
        <f t="shared" si="20"/>
        <v>1742015</v>
      </c>
      <c r="P27" s="17">
        <f t="shared" si="7"/>
        <v>7.3202402207433862E-2</v>
      </c>
      <c r="Q27" s="36">
        <f t="shared" si="8"/>
        <v>7795.8536585365855</v>
      </c>
      <c r="R27" s="15">
        <f t="shared" ref="R27:S27" si="21">M9/L9</f>
        <v>1.5432372505543237</v>
      </c>
      <c r="S27" s="36">
        <f t="shared" si="21"/>
        <v>5051.6235632183907</v>
      </c>
      <c r="V27" s="52"/>
      <c r="W27" s="35"/>
      <c r="X27" s="35"/>
      <c r="Y27" s="35"/>
      <c r="Z27" s="17"/>
      <c r="AA27" s="15"/>
      <c r="AB27" s="15"/>
      <c r="AC27" s="15"/>
    </row>
    <row r="28" spans="1:33" ht="14.25" customHeight="1">
      <c r="A28" s="10" t="str">
        <f t="shared" ref="A28:E28" si="22">A10</f>
        <v>2022Q4</v>
      </c>
      <c r="B28" s="35">
        <f t="shared" si="22"/>
        <v>366</v>
      </c>
      <c r="C28" s="35">
        <f t="shared" si="22"/>
        <v>615</v>
      </c>
      <c r="D28" s="35">
        <f t="shared" si="22"/>
        <v>3017685</v>
      </c>
      <c r="E28" s="35">
        <f t="shared" si="22"/>
        <v>1435610</v>
      </c>
      <c r="F28" s="17">
        <f t="shared" si="1"/>
        <v>0.12878254750175933</v>
      </c>
      <c r="G28" s="36">
        <f t="shared" si="2"/>
        <v>8245.0409836065573</v>
      </c>
      <c r="H28" s="15">
        <f t="shared" ref="H28:I28" si="23">C10/B10</f>
        <v>1.680327868852459</v>
      </c>
      <c r="I28" s="36">
        <f t="shared" si="23"/>
        <v>4906.8048780487807</v>
      </c>
      <c r="K28" s="10" t="str">
        <f t="shared" ref="K28:O28" si="24">K10</f>
        <v>2022Q4</v>
      </c>
      <c r="L28" s="35">
        <f t="shared" si="24"/>
        <v>939</v>
      </c>
      <c r="M28" s="35">
        <f t="shared" si="24"/>
        <v>1579</v>
      </c>
      <c r="N28" s="35">
        <f t="shared" si="24"/>
        <v>8754185</v>
      </c>
      <c r="O28" s="35">
        <f t="shared" si="24"/>
        <v>4264700</v>
      </c>
      <c r="P28" s="17">
        <f t="shared" si="7"/>
        <v>0.15241032299951307</v>
      </c>
      <c r="Q28" s="36">
        <f t="shared" si="8"/>
        <v>9322.8807241746545</v>
      </c>
      <c r="R28" s="15">
        <f t="shared" ref="R28:S28" si="25">M10/L10</f>
        <v>1.6815761448349307</v>
      </c>
      <c r="S28" s="36">
        <f t="shared" si="25"/>
        <v>5544.1323622545915</v>
      </c>
      <c r="U28" s="53" t="s">
        <v>22</v>
      </c>
      <c r="V28" s="35">
        <f t="shared" ref="V28:Y28" si="26">V10</f>
        <v>5881</v>
      </c>
      <c r="W28" s="35">
        <f t="shared" si="26"/>
        <v>7651</v>
      </c>
      <c r="X28" s="35">
        <f t="shared" si="26"/>
        <v>46089890</v>
      </c>
      <c r="Y28" s="35">
        <f t="shared" si="26"/>
        <v>22577830</v>
      </c>
      <c r="Z28" s="17">
        <f t="shared" ref="Z28:Z36" si="27">V10/$V$10</f>
        <v>1</v>
      </c>
      <c r="AA28" s="36">
        <f t="shared" ref="AA28:AA36" si="28">X10/V10</f>
        <v>7837.0838292807348</v>
      </c>
      <c r="AB28" s="15">
        <f t="shared" ref="AB28:AC28" si="29">W10/V10</f>
        <v>1.3009692229212719</v>
      </c>
      <c r="AC28" s="54">
        <f t="shared" si="29"/>
        <v>6024.0347666971638</v>
      </c>
    </row>
    <row r="29" spans="1:33" ht="14.25" customHeight="1">
      <c r="A29" s="10" t="str">
        <f t="shared" ref="A29:E29" si="30">A11</f>
        <v>2023Q1</v>
      </c>
      <c r="B29" s="35">
        <f t="shared" si="30"/>
        <v>234</v>
      </c>
      <c r="C29" s="35">
        <f t="shared" si="30"/>
        <v>339</v>
      </c>
      <c r="D29" s="35">
        <f t="shared" si="30"/>
        <v>1575365</v>
      </c>
      <c r="E29" s="35">
        <f t="shared" si="30"/>
        <v>740795</v>
      </c>
      <c r="F29" s="17">
        <f t="shared" si="1"/>
        <v>8.2336382828993665E-2</v>
      </c>
      <c r="G29" s="36">
        <f t="shared" si="2"/>
        <v>6732.3290598290596</v>
      </c>
      <c r="H29" s="15">
        <f t="shared" ref="H29:I29" si="31">C11/B11</f>
        <v>1.4487179487179487</v>
      </c>
      <c r="I29" s="36">
        <f t="shared" si="31"/>
        <v>4647.0943952802363</v>
      </c>
      <c r="K29" s="10" t="str">
        <f t="shared" ref="K29:O29" si="32">K11</f>
        <v>2023Q1</v>
      </c>
      <c r="L29" s="35">
        <f t="shared" si="32"/>
        <v>418</v>
      </c>
      <c r="M29" s="35">
        <f t="shared" si="32"/>
        <v>687</v>
      </c>
      <c r="N29" s="35">
        <f t="shared" si="32"/>
        <v>3430020</v>
      </c>
      <c r="O29" s="35">
        <f t="shared" si="32"/>
        <v>1596375</v>
      </c>
      <c r="P29" s="17">
        <f t="shared" si="7"/>
        <v>6.7846128875182599E-2</v>
      </c>
      <c r="Q29" s="36">
        <f t="shared" si="8"/>
        <v>8205.78947368421</v>
      </c>
      <c r="R29" s="15">
        <f t="shared" ref="R29:S29" si="33">M11/L11</f>
        <v>1.6435406698564594</v>
      </c>
      <c r="S29" s="36">
        <f t="shared" si="33"/>
        <v>4992.7510917030568</v>
      </c>
      <c r="U29" s="10" t="str">
        <f t="shared" ref="U29:Y29" si="34">U11</f>
        <v>2023Q1</v>
      </c>
      <c r="V29" s="35">
        <f t="shared" si="34"/>
        <v>690</v>
      </c>
      <c r="W29" s="35">
        <f t="shared" si="34"/>
        <v>1011</v>
      </c>
      <c r="X29" s="35">
        <f t="shared" si="34"/>
        <v>5531845</v>
      </c>
      <c r="Y29" s="35">
        <f t="shared" si="34"/>
        <v>2540340</v>
      </c>
      <c r="Z29" s="17">
        <f t="shared" si="27"/>
        <v>0.11732698520659751</v>
      </c>
      <c r="AA29" s="36">
        <f t="shared" si="28"/>
        <v>8017.166666666667</v>
      </c>
      <c r="AB29" s="15">
        <f t="shared" ref="AB29:AC29" si="35">W11/V11</f>
        <v>1.4652173913043478</v>
      </c>
      <c r="AC29" s="54">
        <f t="shared" si="35"/>
        <v>5471.6567754698317</v>
      </c>
    </row>
    <row r="30" spans="1:33" ht="14.25" customHeight="1">
      <c r="A30" s="10" t="str">
        <f t="shared" ref="A30:E30" si="36">A12</f>
        <v>2023Q2</v>
      </c>
      <c r="B30" s="35">
        <f t="shared" si="36"/>
        <v>254</v>
      </c>
      <c r="C30" s="35">
        <f t="shared" si="36"/>
        <v>408</v>
      </c>
      <c r="D30" s="35">
        <f t="shared" si="36"/>
        <v>1804770</v>
      </c>
      <c r="E30" s="35">
        <f t="shared" si="36"/>
        <v>868560</v>
      </c>
      <c r="F30" s="17">
        <f t="shared" si="1"/>
        <v>8.9373680506685427E-2</v>
      </c>
      <c r="G30" s="36">
        <f t="shared" si="2"/>
        <v>7105.3937007874019</v>
      </c>
      <c r="H30" s="15">
        <f t="shared" ref="H30:I30" si="37">C12/B12</f>
        <v>1.6062992125984252</v>
      </c>
      <c r="I30" s="36">
        <f t="shared" si="37"/>
        <v>4423.4558823529414</v>
      </c>
      <c r="K30" s="10" t="str">
        <f t="shared" ref="K30:O30" si="38">K12</f>
        <v>2023Q2</v>
      </c>
      <c r="L30" s="35">
        <f t="shared" si="38"/>
        <v>442</v>
      </c>
      <c r="M30" s="35">
        <f t="shared" si="38"/>
        <v>738</v>
      </c>
      <c r="N30" s="35">
        <f t="shared" si="38"/>
        <v>3375460</v>
      </c>
      <c r="O30" s="35">
        <f t="shared" si="38"/>
        <v>1614635</v>
      </c>
      <c r="P30" s="17">
        <f t="shared" si="7"/>
        <v>7.1741600389547147E-2</v>
      </c>
      <c r="Q30" s="36">
        <f t="shared" si="8"/>
        <v>7636.7873303167416</v>
      </c>
      <c r="R30" s="15">
        <f t="shared" ref="R30:S30" si="39">M12/L12</f>
        <v>1.6696832579185521</v>
      </c>
      <c r="S30" s="36">
        <f t="shared" si="39"/>
        <v>4573.794037940379</v>
      </c>
      <c r="U30" s="10" t="str">
        <f t="shared" ref="U30:Y30" si="40">U12</f>
        <v>2023Q2</v>
      </c>
      <c r="V30" s="35">
        <f t="shared" si="40"/>
        <v>473</v>
      </c>
      <c r="W30" s="35">
        <f t="shared" si="40"/>
        <v>675</v>
      </c>
      <c r="X30" s="35">
        <f t="shared" si="40"/>
        <v>3571370</v>
      </c>
      <c r="Y30" s="35">
        <f t="shared" si="40"/>
        <v>1677170</v>
      </c>
      <c r="Z30" s="17">
        <f t="shared" si="27"/>
        <v>8.0428498554667577E-2</v>
      </c>
      <c r="AA30" s="36">
        <f t="shared" si="28"/>
        <v>7550.4651162790697</v>
      </c>
      <c r="AB30" s="15">
        <f t="shared" ref="AB30:AC30" si="41">W12/V12</f>
        <v>1.427061310782241</v>
      </c>
      <c r="AC30" s="54">
        <f t="shared" si="41"/>
        <v>5290.9185185185188</v>
      </c>
    </row>
    <row r="31" spans="1:33" ht="14.25" customHeight="1">
      <c r="A31" s="10" t="str">
        <f t="shared" ref="A31:E31" si="42">A13</f>
        <v>2023Q3</v>
      </c>
      <c r="B31" s="35">
        <f t="shared" si="42"/>
        <v>269</v>
      </c>
      <c r="C31" s="35">
        <f t="shared" si="42"/>
        <v>385</v>
      </c>
      <c r="D31" s="35">
        <f t="shared" si="42"/>
        <v>1582735</v>
      </c>
      <c r="E31" s="35">
        <f t="shared" si="42"/>
        <v>742940</v>
      </c>
      <c r="F31" s="17">
        <f t="shared" si="1"/>
        <v>9.4651653764954255E-2</v>
      </c>
      <c r="G31" s="36">
        <f t="shared" si="2"/>
        <v>5883.7732342007439</v>
      </c>
      <c r="H31" s="15">
        <f t="shared" ref="H31:I31" si="43">C13/B13</f>
        <v>1.4312267657992566</v>
      </c>
      <c r="I31" s="36">
        <f t="shared" si="43"/>
        <v>4111</v>
      </c>
      <c r="K31" s="10" t="str">
        <f t="shared" ref="K31:O31" si="44">K13</f>
        <v>2023Q3</v>
      </c>
      <c r="L31" s="35">
        <f t="shared" si="44"/>
        <v>430</v>
      </c>
      <c r="M31" s="35">
        <f t="shared" si="44"/>
        <v>731</v>
      </c>
      <c r="N31" s="35">
        <f t="shared" si="44"/>
        <v>3476385</v>
      </c>
      <c r="O31" s="35">
        <f t="shared" si="44"/>
        <v>1640210</v>
      </c>
      <c r="P31" s="17">
        <f t="shared" si="7"/>
        <v>6.979386463236488E-2</v>
      </c>
      <c r="Q31" s="36">
        <f t="shared" si="8"/>
        <v>8084.6162790697672</v>
      </c>
      <c r="R31" s="15">
        <f t="shared" ref="R31:S31" si="45">M13/L13</f>
        <v>1.7</v>
      </c>
      <c r="S31" s="36">
        <f t="shared" si="45"/>
        <v>4755.6566347469225</v>
      </c>
      <c r="U31" s="10" t="str">
        <f t="shared" ref="U31:Y31" si="46">U13</f>
        <v>2023Q3</v>
      </c>
      <c r="V31" s="35">
        <f t="shared" si="46"/>
        <v>420</v>
      </c>
      <c r="W31" s="35">
        <f t="shared" si="46"/>
        <v>601</v>
      </c>
      <c r="X31" s="35">
        <f t="shared" si="46"/>
        <v>2838000</v>
      </c>
      <c r="Y31" s="35">
        <f t="shared" si="46"/>
        <v>1371040</v>
      </c>
      <c r="Z31" s="17">
        <f t="shared" si="27"/>
        <v>7.1416425777928921E-2</v>
      </c>
      <c r="AA31" s="36">
        <f t="shared" si="28"/>
        <v>6757.1428571428569</v>
      </c>
      <c r="AB31" s="15">
        <f t="shared" ref="AB31:AC31" si="47">W13/V13</f>
        <v>1.430952380952381</v>
      </c>
      <c r="AC31" s="54">
        <f t="shared" si="47"/>
        <v>4722.1297836938438</v>
      </c>
    </row>
    <row r="32" spans="1:33" ht="14.25" customHeight="1">
      <c r="A32" s="10" t="str">
        <f t="shared" ref="A32:E32" si="48">A14</f>
        <v>2023Q4</v>
      </c>
      <c r="B32" s="35">
        <f t="shared" si="48"/>
        <v>358</v>
      </c>
      <c r="C32" s="35">
        <f t="shared" si="48"/>
        <v>625</v>
      </c>
      <c r="D32" s="35">
        <f t="shared" si="48"/>
        <v>3222065</v>
      </c>
      <c r="E32" s="35">
        <f t="shared" si="48"/>
        <v>1519155</v>
      </c>
      <c r="F32" s="17">
        <f t="shared" si="1"/>
        <v>0.12596762843068263</v>
      </c>
      <c r="G32" s="36">
        <f t="shared" si="2"/>
        <v>9000.1815642458096</v>
      </c>
      <c r="H32" s="15">
        <f t="shared" ref="H32:I32" si="49">C14/B14</f>
        <v>1.7458100558659218</v>
      </c>
      <c r="I32" s="36">
        <f t="shared" si="49"/>
        <v>5155.3040000000001</v>
      </c>
      <c r="K32" s="10" t="str">
        <f t="shared" ref="K32:O32" si="50">K14</f>
        <v>2023Q4</v>
      </c>
      <c r="L32" s="35">
        <f t="shared" si="50"/>
        <v>885</v>
      </c>
      <c r="M32" s="35">
        <f t="shared" si="50"/>
        <v>1542</v>
      </c>
      <c r="N32" s="35">
        <f t="shared" si="50"/>
        <v>8510590</v>
      </c>
      <c r="O32" s="35">
        <f t="shared" si="50"/>
        <v>4095850</v>
      </c>
      <c r="P32" s="17">
        <f t="shared" si="7"/>
        <v>0.14364551209219284</v>
      </c>
      <c r="Q32" s="36">
        <f t="shared" si="8"/>
        <v>9616.4858757062138</v>
      </c>
      <c r="R32" s="15">
        <f t="shared" ref="R32:S32" si="51">M14/L14</f>
        <v>1.7423728813559323</v>
      </c>
      <c r="S32" s="36">
        <f t="shared" si="51"/>
        <v>5519.1893644617376</v>
      </c>
      <c r="U32" s="10" t="str">
        <f t="shared" ref="U32:Y32" si="52">U14</f>
        <v>2023Q4</v>
      </c>
      <c r="V32" s="35">
        <f t="shared" si="52"/>
        <v>999</v>
      </c>
      <c r="W32" s="35">
        <f t="shared" si="52"/>
        <v>1660</v>
      </c>
      <c r="X32" s="35">
        <f t="shared" si="52"/>
        <v>8927160</v>
      </c>
      <c r="Y32" s="35">
        <f t="shared" si="52"/>
        <v>4306665</v>
      </c>
      <c r="Z32" s="17">
        <f t="shared" si="27"/>
        <v>0.16986906988607381</v>
      </c>
      <c r="AA32" s="36">
        <f t="shared" si="28"/>
        <v>8936.0960960960965</v>
      </c>
      <c r="AB32" s="15">
        <f t="shared" ref="AB32:AC32" si="53">W14/V14</f>
        <v>1.6616616616616617</v>
      </c>
      <c r="AC32" s="54">
        <f t="shared" si="53"/>
        <v>5377.8072289156626</v>
      </c>
    </row>
    <row r="33" spans="1:33" ht="14.25" customHeight="1">
      <c r="A33" s="10" t="str">
        <f t="shared" ref="A33:E33" si="54">A15</f>
        <v>2024Q1</v>
      </c>
      <c r="B33" s="35">
        <f t="shared" si="54"/>
        <v>220</v>
      </c>
      <c r="C33" s="35">
        <f t="shared" si="54"/>
        <v>323</v>
      </c>
      <c r="D33" s="35">
        <f t="shared" si="54"/>
        <v>1638945</v>
      </c>
      <c r="E33" s="35">
        <f t="shared" si="54"/>
        <v>766755</v>
      </c>
      <c r="F33" s="17">
        <f t="shared" si="1"/>
        <v>7.7410274454609435E-2</v>
      </c>
      <c r="G33" s="36">
        <f t="shared" si="2"/>
        <v>7449.75</v>
      </c>
      <c r="H33" s="15">
        <f t="shared" ref="H33:I33" si="55">C15/B15</f>
        <v>1.4681818181818183</v>
      </c>
      <c r="I33" s="36">
        <f t="shared" si="55"/>
        <v>5074.1331269349848</v>
      </c>
      <c r="K33" s="10" t="str">
        <f t="shared" ref="K33:O33" si="56">K15</f>
        <v>2024Q1</v>
      </c>
      <c r="L33" s="35">
        <f t="shared" si="56"/>
        <v>381</v>
      </c>
      <c r="M33" s="35">
        <f t="shared" si="56"/>
        <v>625</v>
      </c>
      <c r="N33" s="35">
        <f t="shared" si="56"/>
        <v>3439535</v>
      </c>
      <c r="O33" s="35">
        <f t="shared" si="56"/>
        <v>1651705</v>
      </c>
      <c r="P33" s="17">
        <f t="shared" si="7"/>
        <v>6.1840610290537251E-2</v>
      </c>
      <c r="Q33" s="36">
        <f t="shared" si="8"/>
        <v>9027.6509186351705</v>
      </c>
      <c r="R33" s="15">
        <f t="shared" ref="R33:S33" si="57">M15/L15</f>
        <v>1.6404199475065617</v>
      </c>
      <c r="S33" s="36">
        <f t="shared" si="57"/>
        <v>5503.2560000000003</v>
      </c>
      <c r="U33" s="10" t="str">
        <f t="shared" ref="U33:Y33" si="58">U15</f>
        <v>2024Q1</v>
      </c>
      <c r="V33" s="35">
        <f t="shared" si="58"/>
        <v>387</v>
      </c>
      <c r="W33" s="35">
        <f t="shared" si="58"/>
        <v>562</v>
      </c>
      <c r="X33" s="35">
        <f t="shared" si="58"/>
        <v>3135275</v>
      </c>
      <c r="Y33" s="35">
        <f t="shared" si="58"/>
        <v>1509805</v>
      </c>
      <c r="Z33" s="17">
        <f t="shared" si="27"/>
        <v>6.5805135181091656E-2</v>
      </c>
      <c r="AA33" s="36">
        <f t="shared" si="28"/>
        <v>8101.485788113695</v>
      </c>
      <c r="AB33" s="15">
        <f t="shared" ref="AB33:AC33" si="59">W15/V15</f>
        <v>1.4521963824289406</v>
      </c>
      <c r="AC33" s="54">
        <f t="shared" si="59"/>
        <v>5578.7811387900356</v>
      </c>
    </row>
    <row r="34" spans="1:33" ht="14.25" customHeight="1">
      <c r="A34" s="10" t="str">
        <f t="shared" ref="A34:E34" si="60">A16</f>
        <v>2024Q2</v>
      </c>
      <c r="B34" s="35">
        <f t="shared" si="60"/>
        <v>224</v>
      </c>
      <c r="C34" s="35">
        <f t="shared" si="60"/>
        <v>338</v>
      </c>
      <c r="D34" s="35">
        <f t="shared" si="60"/>
        <v>1742675</v>
      </c>
      <c r="E34" s="35">
        <f t="shared" si="60"/>
        <v>828905</v>
      </c>
      <c r="F34" s="17">
        <f t="shared" si="1"/>
        <v>7.8817733990147784E-2</v>
      </c>
      <c r="G34" s="36">
        <f t="shared" si="2"/>
        <v>7779.7991071428569</v>
      </c>
      <c r="H34" s="15">
        <f t="shared" ref="H34:I34" si="61">C16/B16</f>
        <v>1.5089285714285714</v>
      </c>
      <c r="I34" s="36">
        <f t="shared" si="61"/>
        <v>5155.8431952662722</v>
      </c>
      <c r="K34" s="10" t="str">
        <f t="shared" ref="K34:O34" si="62">K16</f>
        <v>2024Q2</v>
      </c>
      <c r="L34" s="35">
        <f t="shared" si="62"/>
        <v>384</v>
      </c>
      <c r="M34" s="35">
        <f t="shared" si="62"/>
        <v>654</v>
      </c>
      <c r="N34" s="35">
        <f t="shared" si="62"/>
        <v>3467475</v>
      </c>
      <c r="O34" s="35">
        <f t="shared" si="62"/>
        <v>1650495</v>
      </c>
      <c r="P34" s="17">
        <f t="shared" si="7"/>
        <v>6.2327544229832818E-2</v>
      </c>
      <c r="Q34" s="36">
        <f t="shared" si="8"/>
        <v>9029.8828125</v>
      </c>
      <c r="R34" s="15">
        <f t="shared" ref="R34:S34" si="63">M16/L16</f>
        <v>1.703125</v>
      </c>
      <c r="S34" s="36">
        <f t="shared" si="63"/>
        <v>5301.9495412844035</v>
      </c>
      <c r="U34" s="10" t="str">
        <f t="shared" ref="U34:Y34" si="64">U16</f>
        <v>2024Q2</v>
      </c>
      <c r="V34" s="35">
        <f t="shared" si="64"/>
        <v>343</v>
      </c>
      <c r="W34" s="35">
        <f t="shared" si="64"/>
        <v>522</v>
      </c>
      <c r="X34" s="35">
        <f t="shared" si="64"/>
        <v>2546775</v>
      </c>
      <c r="Y34" s="35">
        <f t="shared" si="64"/>
        <v>1241075</v>
      </c>
      <c r="Z34" s="17">
        <f t="shared" si="27"/>
        <v>5.8323414385308622E-2</v>
      </c>
      <c r="AA34" s="36">
        <f t="shared" si="28"/>
        <v>7425</v>
      </c>
      <c r="AB34" s="15">
        <f t="shared" ref="AB34:AC34" si="65">W16/V16</f>
        <v>1.5218658892128281</v>
      </c>
      <c r="AC34" s="54">
        <f t="shared" si="65"/>
        <v>4878.8793103448279</v>
      </c>
    </row>
    <row r="35" spans="1:33" ht="14.25" customHeight="1">
      <c r="A35" s="55" t="s">
        <v>36</v>
      </c>
      <c r="B35" s="35">
        <f t="shared" ref="B35:E35" si="66">B17</f>
        <v>230</v>
      </c>
      <c r="C35" s="35">
        <f t="shared" si="66"/>
        <v>349</v>
      </c>
      <c r="D35" s="35">
        <f t="shared" si="66"/>
        <v>1446720</v>
      </c>
      <c r="E35" s="35">
        <f t="shared" si="66"/>
        <v>692780</v>
      </c>
      <c r="F35" s="17">
        <f t="shared" si="1"/>
        <v>8.0928923293455315E-2</v>
      </c>
      <c r="G35" s="36">
        <f t="shared" si="2"/>
        <v>6290.086956521739</v>
      </c>
      <c r="H35" s="15">
        <f t="shared" ref="H35:I35" si="67">C17/B17</f>
        <v>1.517391304347826</v>
      </c>
      <c r="I35" s="36">
        <f t="shared" si="67"/>
        <v>4145.3295128939826</v>
      </c>
      <c r="K35" s="10" t="str">
        <f t="shared" ref="K35:O35" si="68">K17</f>
        <v>2024Q3</v>
      </c>
      <c r="L35" s="35">
        <f t="shared" si="68"/>
        <v>351</v>
      </c>
      <c r="M35" s="35">
        <f t="shared" si="68"/>
        <v>561</v>
      </c>
      <c r="N35" s="35">
        <f t="shared" si="68"/>
        <v>2413840</v>
      </c>
      <c r="O35" s="35">
        <f t="shared" si="68"/>
        <v>1158025</v>
      </c>
      <c r="P35" s="17">
        <f t="shared" si="7"/>
        <v>5.6971270897581562E-2</v>
      </c>
      <c r="Q35" s="36">
        <f t="shared" si="8"/>
        <v>6877.0370370370374</v>
      </c>
      <c r="R35" s="15">
        <f t="shared" ref="R35:S35" si="69">M17/L17</f>
        <v>1.5982905982905984</v>
      </c>
      <c r="S35" s="36">
        <f t="shared" si="69"/>
        <v>4302.7450980392159</v>
      </c>
      <c r="U35" s="10" t="str">
        <f t="shared" ref="U35:Y35" si="70">U17</f>
        <v>2024Q3</v>
      </c>
      <c r="V35" s="35">
        <f t="shared" si="70"/>
        <v>356</v>
      </c>
      <c r="W35" s="35">
        <f t="shared" si="70"/>
        <v>518</v>
      </c>
      <c r="X35" s="35">
        <f t="shared" si="70"/>
        <v>2251975</v>
      </c>
      <c r="Y35" s="35">
        <f t="shared" si="70"/>
        <v>1074480</v>
      </c>
      <c r="Z35" s="17">
        <f t="shared" si="27"/>
        <v>6.0533922802244518E-2</v>
      </c>
      <c r="AA35" s="36">
        <f t="shared" si="28"/>
        <v>6325.7724719101125</v>
      </c>
      <c r="AB35" s="15">
        <f t="shared" ref="AB35:AC35" si="71">W17/V17</f>
        <v>1.4550561797752808</v>
      </c>
      <c r="AC35" s="54">
        <f t="shared" si="71"/>
        <v>4347.4420849420849</v>
      </c>
    </row>
    <row r="36" spans="1:33" ht="14.25" customHeight="1">
      <c r="A36" s="37" t="str">
        <f t="shared" ref="A36:E36" si="72">A18</f>
        <v>2024Q4</v>
      </c>
      <c r="B36" s="39">
        <f t="shared" si="72"/>
        <v>311</v>
      </c>
      <c r="C36" s="39">
        <f t="shared" si="72"/>
        <v>523</v>
      </c>
      <c r="D36" s="39">
        <f t="shared" si="72"/>
        <v>2693735</v>
      </c>
      <c r="E36" s="39">
        <f t="shared" si="72"/>
        <v>1293325</v>
      </c>
      <c r="F36" s="40">
        <f t="shared" si="1"/>
        <v>0.10942997888810696</v>
      </c>
      <c r="G36" s="41">
        <f t="shared" si="2"/>
        <v>8661.5273311897108</v>
      </c>
      <c r="H36" s="42">
        <f t="shared" ref="H36:I36" si="73">C18/B18</f>
        <v>1.6816720257234727</v>
      </c>
      <c r="I36" s="41">
        <f t="shared" si="73"/>
        <v>5150.544933078394</v>
      </c>
      <c r="K36" s="37" t="str">
        <f t="shared" ref="K36:O36" si="74">K18</f>
        <v>2024Q4</v>
      </c>
      <c r="L36" s="39">
        <f t="shared" si="74"/>
        <v>743</v>
      </c>
      <c r="M36" s="39">
        <f t="shared" si="74"/>
        <v>1364</v>
      </c>
      <c r="N36" s="39">
        <f t="shared" si="74"/>
        <v>7542645</v>
      </c>
      <c r="O36" s="39">
        <f t="shared" si="74"/>
        <v>3669875</v>
      </c>
      <c r="P36" s="40">
        <f t="shared" si="7"/>
        <v>0.12059730563220257</v>
      </c>
      <c r="Q36" s="41">
        <f t="shared" si="8"/>
        <v>10151.608344549126</v>
      </c>
      <c r="R36" s="42">
        <f t="shared" ref="R36:S36" si="75">M18/L18</f>
        <v>1.835800807537012</v>
      </c>
      <c r="S36" s="41">
        <f t="shared" si="75"/>
        <v>5529.7983870967746</v>
      </c>
      <c r="U36" s="37" t="str">
        <f t="shared" ref="U36:Y36" si="76">U18</f>
        <v>2024Q4</v>
      </c>
      <c r="V36" s="39">
        <f t="shared" si="76"/>
        <v>778</v>
      </c>
      <c r="W36" s="39">
        <f t="shared" si="76"/>
        <v>1300</v>
      </c>
      <c r="X36" s="39">
        <f t="shared" si="76"/>
        <v>7285410</v>
      </c>
      <c r="Y36" s="39">
        <f t="shared" si="76"/>
        <v>3469510</v>
      </c>
      <c r="Z36" s="40">
        <f t="shared" si="27"/>
        <v>0.13229042679816358</v>
      </c>
      <c r="AA36" s="41">
        <f t="shared" si="28"/>
        <v>9364.2802056555265</v>
      </c>
      <c r="AB36" s="42">
        <f t="shared" ref="AB36:AC36" si="77">W18/V18</f>
        <v>1.6709511568123394</v>
      </c>
      <c r="AC36" s="56">
        <f t="shared" si="77"/>
        <v>5604.1615384615388</v>
      </c>
    </row>
    <row r="37" spans="1:33" ht="14.2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spans="1:33" ht="14.2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spans="1:33" ht="14.25" customHeight="1">
      <c r="A39" s="23"/>
    </row>
    <row r="40" spans="1:33" ht="14.25" customHeight="1">
      <c r="A40" s="23"/>
    </row>
    <row r="41" spans="1:33" ht="14.25" customHeight="1">
      <c r="A41" s="23" t="str">
        <f t="shared" ref="A41:A55" si="78">A22</f>
        <v>Quarter</v>
      </c>
      <c r="B41" s="53" t="s">
        <v>33</v>
      </c>
      <c r="C41" s="53" t="s">
        <v>34</v>
      </c>
      <c r="D41" s="53" t="s">
        <v>35</v>
      </c>
      <c r="E41" s="53" t="s">
        <v>33</v>
      </c>
      <c r="F41" s="53" t="s">
        <v>34</v>
      </c>
      <c r="G41" s="53" t="s">
        <v>35</v>
      </c>
      <c r="H41" s="53" t="s">
        <v>33</v>
      </c>
      <c r="I41" s="53" t="s">
        <v>34</v>
      </c>
      <c r="J41" s="53" t="s">
        <v>35</v>
      </c>
    </row>
    <row r="42" spans="1:33" ht="14.25" customHeight="1">
      <c r="A42" s="23" t="str">
        <f t="shared" si="78"/>
        <v>2021Q3</v>
      </c>
      <c r="B42" s="17">
        <f t="shared" ref="B42:B55" si="79">F23</f>
        <v>1</v>
      </c>
      <c r="C42" s="17"/>
      <c r="D42" s="17"/>
      <c r="E42" s="36">
        <f t="shared" ref="E42:E55" si="80">G23</f>
        <v>6638.2987332864177</v>
      </c>
      <c r="F42" s="36"/>
      <c r="G42" s="36"/>
      <c r="H42" s="36">
        <f t="shared" ref="H42:H55" si="81">I23</f>
        <v>5250.7779014750904</v>
      </c>
      <c r="I42" s="36"/>
      <c r="J42" s="36"/>
    </row>
    <row r="43" spans="1:33" ht="14.25" customHeight="1">
      <c r="A43" s="23" t="str">
        <f t="shared" si="78"/>
        <v>2021Q4</v>
      </c>
      <c r="B43" s="17">
        <f t="shared" si="79"/>
        <v>0.18613652357494723</v>
      </c>
      <c r="C43" s="17">
        <f t="shared" ref="C43:C55" si="82">P24</f>
        <v>1</v>
      </c>
      <c r="D43" s="17"/>
      <c r="E43" s="36">
        <f t="shared" si="80"/>
        <v>8274.1209829867676</v>
      </c>
      <c r="F43" s="36">
        <f t="shared" ref="F43:F55" si="83">Q24</f>
        <v>8248.0092517448466</v>
      </c>
      <c r="G43" s="36"/>
      <c r="H43" s="36">
        <f t="shared" si="81"/>
        <v>5350.867970660147</v>
      </c>
      <c r="I43" s="36">
        <f t="shared" ref="I43:I55" si="84">S24</f>
        <v>6367.917919799499</v>
      </c>
      <c r="J43" s="36"/>
    </row>
    <row r="44" spans="1:33" ht="14.25" customHeight="1">
      <c r="A44" s="23" t="str">
        <f t="shared" si="78"/>
        <v>2022Q1</v>
      </c>
      <c r="B44" s="17">
        <f t="shared" si="79"/>
        <v>8.3391977480647431E-2</v>
      </c>
      <c r="C44" s="17">
        <f t="shared" si="82"/>
        <v>0.10047070280798572</v>
      </c>
      <c r="D44" s="17"/>
      <c r="E44" s="36">
        <f t="shared" si="80"/>
        <v>8054.5991561181436</v>
      </c>
      <c r="F44" s="36">
        <f t="shared" si="83"/>
        <v>8717.9886914378021</v>
      </c>
      <c r="G44" s="36"/>
      <c r="H44" s="36">
        <f t="shared" si="81"/>
        <v>5873.6615384615388</v>
      </c>
      <c r="I44" s="36">
        <f t="shared" si="84"/>
        <v>5747.0021299254522</v>
      </c>
      <c r="J44" s="36"/>
    </row>
    <row r="45" spans="1:33" ht="14.25" customHeight="1">
      <c r="A45" s="23" t="str">
        <f t="shared" si="78"/>
        <v>2022Q2</v>
      </c>
      <c r="B45" s="17">
        <f t="shared" si="79"/>
        <v>0.11189303307529909</v>
      </c>
      <c r="C45" s="17">
        <f t="shared" si="82"/>
        <v>8.8621976951793538E-2</v>
      </c>
      <c r="D45" s="17"/>
      <c r="E45" s="36">
        <f t="shared" si="80"/>
        <v>7412.8930817610062</v>
      </c>
      <c r="F45" s="36">
        <f t="shared" si="83"/>
        <v>7352.5732600732599</v>
      </c>
      <c r="G45" s="36"/>
      <c r="H45" s="36">
        <f t="shared" si="81"/>
        <v>5047.751605995717</v>
      </c>
      <c r="I45" s="36">
        <f t="shared" si="84"/>
        <v>4695.3274853801167</v>
      </c>
      <c r="J45" s="36"/>
    </row>
    <row r="46" spans="1:33" ht="14.25" customHeight="1">
      <c r="A46" s="23" t="str">
        <f t="shared" si="78"/>
        <v>2022Q3</v>
      </c>
      <c r="B46" s="17">
        <f t="shared" si="79"/>
        <v>0.11154116819141449</v>
      </c>
      <c r="C46" s="17">
        <f t="shared" si="82"/>
        <v>7.3202402207433862E-2</v>
      </c>
      <c r="D46" s="17"/>
      <c r="E46" s="36">
        <f t="shared" si="80"/>
        <v>6982.744479495268</v>
      </c>
      <c r="F46" s="36">
        <f t="shared" si="83"/>
        <v>7795.8536585365855</v>
      </c>
      <c r="G46" s="36"/>
      <c r="H46" s="36">
        <f t="shared" si="81"/>
        <v>4729.764957264957</v>
      </c>
      <c r="I46" s="36">
        <f t="shared" si="84"/>
        <v>5051.6235632183907</v>
      </c>
      <c r="J46" s="36"/>
    </row>
    <row r="47" spans="1:33" ht="14.25" customHeight="1">
      <c r="A47" s="23" t="str">
        <f t="shared" si="78"/>
        <v>2022Q4</v>
      </c>
      <c r="B47" s="17">
        <f t="shared" si="79"/>
        <v>0.12878254750175933</v>
      </c>
      <c r="C47" s="17">
        <f t="shared" si="82"/>
        <v>0.15241032299951307</v>
      </c>
      <c r="D47" s="17">
        <f t="shared" ref="D47:D55" si="85">Z28</f>
        <v>1</v>
      </c>
      <c r="E47" s="36">
        <f t="shared" si="80"/>
        <v>8245.0409836065573</v>
      </c>
      <c r="F47" s="36">
        <f t="shared" si="83"/>
        <v>9322.8807241746545</v>
      </c>
      <c r="G47" s="36">
        <f t="shared" ref="G47:G55" si="86">AA28</f>
        <v>7837.0838292807348</v>
      </c>
      <c r="H47" s="36">
        <f t="shared" si="81"/>
        <v>4906.8048780487807</v>
      </c>
      <c r="I47" s="36">
        <f t="shared" si="84"/>
        <v>5544.1323622545915</v>
      </c>
      <c r="J47" s="36">
        <f t="shared" ref="J47:J55" si="87">AC28</f>
        <v>6024.0347666971638</v>
      </c>
    </row>
    <row r="48" spans="1:33" ht="14.25" customHeight="1">
      <c r="A48" s="23" t="str">
        <f t="shared" si="78"/>
        <v>2023Q1</v>
      </c>
      <c r="B48" s="17">
        <f t="shared" si="79"/>
        <v>8.2336382828993665E-2</v>
      </c>
      <c r="C48" s="17">
        <f t="shared" si="82"/>
        <v>6.7846128875182599E-2</v>
      </c>
      <c r="D48" s="17">
        <f t="shared" si="85"/>
        <v>0.11732698520659751</v>
      </c>
      <c r="E48" s="36">
        <f t="shared" si="80"/>
        <v>6732.3290598290596</v>
      </c>
      <c r="F48" s="36">
        <f t="shared" si="83"/>
        <v>8205.78947368421</v>
      </c>
      <c r="G48" s="36">
        <f t="shared" si="86"/>
        <v>8017.166666666667</v>
      </c>
      <c r="H48" s="36">
        <f t="shared" si="81"/>
        <v>4647.0943952802363</v>
      </c>
      <c r="I48" s="36">
        <f t="shared" si="84"/>
        <v>4992.7510917030568</v>
      </c>
      <c r="J48" s="36">
        <f t="shared" si="87"/>
        <v>5471.6567754698317</v>
      </c>
    </row>
    <row r="49" spans="1:10" ht="14.25" customHeight="1">
      <c r="A49" s="23" t="str">
        <f t="shared" si="78"/>
        <v>2023Q2</v>
      </c>
      <c r="B49" s="17">
        <f t="shared" si="79"/>
        <v>8.9373680506685427E-2</v>
      </c>
      <c r="C49" s="17">
        <f t="shared" si="82"/>
        <v>7.1741600389547147E-2</v>
      </c>
      <c r="D49" s="17">
        <f t="shared" si="85"/>
        <v>8.0428498554667577E-2</v>
      </c>
      <c r="E49" s="36">
        <f t="shared" si="80"/>
        <v>7105.3937007874019</v>
      </c>
      <c r="F49" s="36">
        <f t="shared" si="83"/>
        <v>7636.7873303167416</v>
      </c>
      <c r="G49" s="36">
        <f t="shared" si="86"/>
        <v>7550.4651162790697</v>
      </c>
      <c r="H49" s="36">
        <f t="shared" si="81"/>
        <v>4423.4558823529414</v>
      </c>
      <c r="I49" s="36">
        <f t="shared" si="84"/>
        <v>4573.794037940379</v>
      </c>
      <c r="J49" s="36">
        <f t="shared" si="87"/>
        <v>5290.9185185185188</v>
      </c>
    </row>
    <row r="50" spans="1:10" ht="14.25" customHeight="1">
      <c r="A50" s="23" t="str">
        <f t="shared" si="78"/>
        <v>2023Q3</v>
      </c>
      <c r="B50" s="17">
        <f t="shared" si="79"/>
        <v>9.4651653764954255E-2</v>
      </c>
      <c r="C50" s="17">
        <f t="shared" si="82"/>
        <v>6.979386463236488E-2</v>
      </c>
      <c r="D50" s="17">
        <f t="shared" si="85"/>
        <v>7.1416425777928921E-2</v>
      </c>
      <c r="E50" s="36">
        <f t="shared" si="80"/>
        <v>5883.7732342007439</v>
      </c>
      <c r="F50" s="36">
        <f t="shared" si="83"/>
        <v>8084.6162790697672</v>
      </c>
      <c r="G50" s="36">
        <f t="shared" si="86"/>
        <v>6757.1428571428569</v>
      </c>
      <c r="H50" s="36">
        <f t="shared" si="81"/>
        <v>4111</v>
      </c>
      <c r="I50" s="36">
        <f t="shared" si="84"/>
        <v>4755.6566347469225</v>
      </c>
      <c r="J50" s="36">
        <f t="shared" si="87"/>
        <v>4722.1297836938438</v>
      </c>
    </row>
    <row r="51" spans="1:10" ht="14.25" customHeight="1">
      <c r="A51" s="23" t="str">
        <f t="shared" si="78"/>
        <v>2023Q4</v>
      </c>
      <c r="B51" s="17">
        <f t="shared" si="79"/>
        <v>0.12596762843068263</v>
      </c>
      <c r="C51" s="17">
        <f t="shared" si="82"/>
        <v>0.14364551209219284</v>
      </c>
      <c r="D51" s="17">
        <f t="shared" si="85"/>
        <v>0.16986906988607381</v>
      </c>
      <c r="E51" s="36">
        <f t="shared" si="80"/>
        <v>9000.1815642458096</v>
      </c>
      <c r="F51" s="36">
        <f t="shared" si="83"/>
        <v>9616.4858757062138</v>
      </c>
      <c r="G51" s="36">
        <f t="shared" si="86"/>
        <v>8936.0960960960965</v>
      </c>
      <c r="H51" s="36">
        <f t="shared" si="81"/>
        <v>5155.3040000000001</v>
      </c>
      <c r="I51" s="36">
        <f t="shared" si="84"/>
        <v>5519.1893644617376</v>
      </c>
      <c r="J51" s="36">
        <f t="shared" si="87"/>
        <v>5377.8072289156626</v>
      </c>
    </row>
    <row r="52" spans="1:10" ht="14.25" customHeight="1">
      <c r="A52" s="23" t="str">
        <f t="shared" si="78"/>
        <v>2024Q1</v>
      </c>
      <c r="B52" s="17">
        <f t="shared" si="79"/>
        <v>7.7410274454609435E-2</v>
      </c>
      <c r="C52" s="17">
        <f t="shared" si="82"/>
        <v>6.1840610290537251E-2</v>
      </c>
      <c r="D52" s="17">
        <f t="shared" si="85"/>
        <v>6.5805135181091656E-2</v>
      </c>
      <c r="E52" s="36">
        <f t="shared" si="80"/>
        <v>7449.75</v>
      </c>
      <c r="F52" s="36">
        <f t="shared" si="83"/>
        <v>9027.6509186351705</v>
      </c>
      <c r="G52" s="36">
        <f t="shared" si="86"/>
        <v>8101.485788113695</v>
      </c>
      <c r="H52" s="36">
        <f t="shared" si="81"/>
        <v>5074.1331269349848</v>
      </c>
      <c r="I52" s="36">
        <f t="shared" si="84"/>
        <v>5503.2560000000003</v>
      </c>
      <c r="J52" s="36">
        <f t="shared" si="87"/>
        <v>5578.7811387900356</v>
      </c>
    </row>
    <row r="53" spans="1:10" ht="14.25" customHeight="1">
      <c r="A53" s="23" t="str">
        <f t="shared" si="78"/>
        <v>2024Q2</v>
      </c>
      <c r="B53" s="17">
        <f t="shared" si="79"/>
        <v>7.8817733990147784E-2</v>
      </c>
      <c r="C53" s="17">
        <f t="shared" si="82"/>
        <v>6.2327544229832818E-2</v>
      </c>
      <c r="D53" s="17">
        <f t="shared" si="85"/>
        <v>5.8323414385308622E-2</v>
      </c>
      <c r="E53" s="36">
        <f t="shared" si="80"/>
        <v>7779.7991071428569</v>
      </c>
      <c r="F53" s="36">
        <f t="shared" si="83"/>
        <v>9029.8828125</v>
      </c>
      <c r="G53" s="36">
        <f t="shared" si="86"/>
        <v>7425</v>
      </c>
      <c r="H53" s="36">
        <f t="shared" si="81"/>
        <v>5155.8431952662722</v>
      </c>
      <c r="I53" s="36">
        <f t="shared" si="84"/>
        <v>5301.9495412844035</v>
      </c>
      <c r="J53" s="36">
        <f t="shared" si="87"/>
        <v>4878.8793103448279</v>
      </c>
    </row>
    <row r="54" spans="1:10" ht="14.25" customHeight="1">
      <c r="A54" s="57" t="str">
        <f t="shared" si="78"/>
        <v>https://docs.google.com/spreadsheets/d/16x8zlfdKSDrt8KCRVrkRtkOdrEvM_DMxIaDW7Ubr9Vc/edit?gid=353029270#gid=353029270</v>
      </c>
      <c r="B54" s="17">
        <f t="shared" si="79"/>
        <v>8.0928923293455315E-2</v>
      </c>
      <c r="C54" s="17">
        <f t="shared" si="82"/>
        <v>5.6971270897581562E-2</v>
      </c>
      <c r="D54" s="17">
        <f t="shared" si="85"/>
        <v>6.0533922802244518E-2</v>
      </c>
      <c r="E54" s="36">
        <f t="shared" si="80"/>
        <v>6290.086956521739</v>
      </c>
      <c r="F54" s="36">
        <f t="shared" si="83"/>
        <v>6877.0370370370374</v>
      </c>
      <c r="G54" s="36">
        <f t="shared" si="86"/>
        <v>6325.7724719101125</v>
      </c>
      <c r="H54" s="36">
        <f t="shared" si="81"/>
        <v>4145.3295128939826</v>
      </c>
      <c r="I54" s="36">
        <f t="shared" si="84"/>
        <v>4302.7450980392159</v>
      </c>
      <c r="J54" s="36">
        <f t="shared" si="87"/>
        <v>4347.4420849420849</v>
      </c>
    </row>
    <row r="55" spans="1:10" ht="14.25" customHeight="1">
      <c r="A55" s="23" t="str">
        <f t="shared" si="78"/>
        <v>2024Q4</v>
      </c>
      <c r="B55" s="17">
        <f t="shared" si="79"/>
        <v>0.10942997888810696</v>
      </c>
      <c r="C55" s="17">
        <f t="shared" si="82"/>
        <v>0.12059730563220257</v>
      </c>
      <c r="D55" s="17">
        <f t="shared" si="85"/>
        <v>0.13229042679816358</v>
      </c>
      <c r="E55" s="36">
        <f t="shared" si="80"/>
        <v>8661.5273311897108</v>
      </c>
      <c r="F55" s="36">
        <f t="shared" si="83"/>
        <v>10151.608344549126</v>
      </c>
      <c r="G55" s="36">
        <f t="shared" si="86"/>
        <v>9364.2802056555265</v>
      </c>
      <c r="H55" s="36">
        <f t="shared" si="81"/>
        <v>5150.544933078394</v>
      </c>
      <c r="I55" s="36">
        <f t="shared" si="84"/>
        <v>5529.7983870967746</v>
      </c>
      <c r="J55" s="36">
        <f t="shared" si="87"/>
        <v>5604.1615384615388</v>
      </c>
    </row>
    <row r="56" spans="1:10" ht="14.25" customHeight="1">
      <c r="A56" s="23"/>
    </row>
    <row r="57" spans="1:10" ht="14.25" customHeight="1">
      <c r="A57" s="23"/>
    </row>
    <row r="58" spans="1:10" ht="14.25" customHeight="1">
      <c r="A58" s="23"/>
    </row>
    <row r="59" spans="1:10" ht="14.25" customHeight="1">
      <c r="A59" s="23"/>
    </row>
    <row r="60" spans="1:10" ht="14.25" customHeight="1">
      <c r="A60" s="23"/>
    </row>
    <row r="61" spans="1:10" ht="14.25" customHeight="1">
      <c r="A61" s="23"/>
    </row>
    <row r="62" spans="1:10" ht="14.25" customHeight="1">
      <c r="A62" s="23"/>
    </row>
    <row r="63" spans="1:10" ht="14.25" customHeight="1">
      <c r="A63" s="23"/>
    </row>
    <row r="64" spans="1:10" ht="14.25" customHeight="1">
      <c r="A64" s="23"/>
    </row>
    <row r="65" spans="1:1" ht="14.25" customHeight="1">
      <c r="A65" s="23"/>
    </row>
    <row r="66" spans="1:1" ht="14.25" customHeight="1">
      <c r="A66" s="23"/>
    </row>
    <row r="67" spans="1:1" ht="14.25" customHeight="1">
      <c r="A67" s="23"/>
    </row>
    <row r="68" spans="1:1" ht="14.25" customHeight="1">
      <c r="A68" s="23"/>
    </row>
    <row r="69" spans="1:1" ht="14.25" customHeight="1">
      <c r="A69" s="23"/>
    </row>
    <row r="70" spans="1:1" ht="14.25" customHeight="1">
      <c r="A70" s="23"/>
    </row>
    <row r="71" spans="1:1" ht="14.25" customHeight="1">
      <c r="A71" s="23"/>
    </row>
    <row r="72" spans="1:1" ht="14.25" customHeight="1">
      <c r="A72" s="23"/>
    </row>
    <row r="73" spans="1:1" ht="14.25" customHeight="1">
      <c r="A73" s="23"/>
    </row>
    <row r="74" spans="1:1" ht="14.25" customHeight="1">
      <c r="A74" s="23"/>
    </row>
    <row r="75" spans="1:1" ht="14.25" customHeight="1">
      <c r="A75" s="23"/>
    </row>
    <row r="76" spans="1:1" ht="14.25" customHeight="1">
      <c r="A76" s="23"/>
    </row>
    <row r="77" spans="1:1" ht="14.25" customHeight="1">
      <c r="A77" s="23"/>
    </row>
    <row r="78" spans="1:1" ht="14.25" customHeight="1">
      <c r="A78" s="23"/>
    </row>
    <row r="79" spans="1:1" ht="14.25" customHeight="1">
      <c r="A79" s="23"/>
    </row>
    <row r="80" spans="1:1" ht="14.25" customHeight="1">
      <c r="A80" s="23"/>
    </row>
    <row r="81" spans="1:1" ht="14.25" customHeight="1">
      <c r="A81" s="23"/>
    </row>
    <row r="82" spans="1:1" ht="14.25" customHeight="1">
      <c r="A82" s="23"/>
    </row>
    <row r="83" spans="1:1" ht="14.25" customHeight="1">
      <c r="A83" s="23"/>
    </row>
    <row r="84" spans="1:1" ht="14.25" customHeight="1">
      <c r="A84" s="23"/>
    </row>
    <row r="85" spans="1:1" ht="14.25" customHeight="1">
      <c r="A85" s="23"/>
    </row>
    <row r="86" spans="1:1" ht="14.25" customHeight="1">
      <c r="A86" s="23"/>
    </row>
    <row r="87" spans="1:1" ht="14.25" customHeight="1">
      <c r="A87" s="23"/>
    </row>
    <row r="88" spans="1:1" ht="14.25" customHeight="1">
      <c r="A88" s="23"/>
    </row>
    <row r="89" spans="1:1" ht="14.25" customHeight="1">
      <c r="A89" s="23"/>
    </row>
    <row r="90" spans="1:1" ht="14.25" customHeight="1">
      <c r="A90" s="23"/>
    </row>
    <row r="91" spans="1:1" ht="14.25" customHeight="1">
      <c r="A91" s="23"/>
    </row>
    <row r="92" spans="1:1" ht="14.25" customHeight="1">
      <c r="A92" s="23"/>
    </row>
    <row r="93" spans="1:1" ht="14.25" customHeight="1">
      <c r="A93" s="23"/>
    </row>
    <row r="94" spans="1:1" ht="14.25" customHeight="1">
      <c r="A94" s="23"/>
    </row>
    <row r="95" spans="1:1" ht="14.25" customHeight="1">
      <c r="A95" s="23"/>
    </row>
    <row r="96" spans="1:1" ht="14.25" customHeight="1">
      <c r="A96" s="23"/>
    </row>
    <row r="97" spans="1:1" ht="14.25" customHeight="1">
      <c r="A97" s="23"/>
    </row>
    <row r="98" spans="1:1" ht="14.25" customHeight="1">
      <c r="A98" s="23"/>
    </row>
    <row r="99" spans="1:1" ht="14.25" customHeight="1">
      <c r="A99" s="23"/>
    </row>
    <row r="100" spans="1:1" ht="14.25" customHeight="1">
      <c r="A100" s="23"/>
    </row>
    <row r="101" spans="1:1" ht="14.25" customHeight="1">
      <c r="A101" s="23"/>
    </row>
    <row r="102" spans="1:1" ht="14.25" customHeight="1">
      <c r="A102" s="23"/>
    </row>
    <row r="103" spans="1:1" ht="14.25" customHeight="1">
      <c r="A103" s="23"/>
    </row>
    <row r="104" spans="1:1" ht="14.25" customHeight="1">
      <c r="A104" s="23"/>
    </row>
    <row r="105" spans="1:1" ht="14.25" customHeight="1">
      <c r="A105" s="23"/>
    </row>
    <row r="106" spans="1:1" ht="14.25" customHeight="1">
      <c r="A106" s="23"/>
    </row>
    <row r="107" spans="1:1" ht="14.25" customHeight="1">
      <c r="A107" s="23"/>
    </row>
    <row r="108" spans="1:1" ht="14.25" customHeight="1">
      <c r="A108" s="23"/>
    </row>
    <row r="109" spans="1:1" ht="14.25" customHeight="1">
      <c r="A109" s="23"/>
    </row>
    <row r="110" spans="1:1" ht="14.25" customHeight="1">
      <c r="A110" s="23"/>
    </row>
    <row r="111" spans="1:1" ht="14.25" customHeight="1">
      <c r="A111" s="23"/>
    </row>
    <row r="112" spans="1:1" ht="14.25" customHeight="1">
      <c r="A112" s="23"/>
    </row>
    <row r="113" spans="1:1" ht="14.25" customHeight="1">
      <c r="A113" s="23"/>
    </row>
    <row r="114" spans="1:1" ht="14.25" customHeight="1">
      <c r="A114" s="23"/>
    </row>
    <row r="115" spans="1:1" ht="14.25" customHeight="1">
      <c r="A115" s="23"/>
    </row>
    <row r="116" spans="1:1" ht="14.25" customHeight="1">
      <c r="A116" s="23"/>
    </row>
    <row r="117" spans="1:1" ht="14.25" customHeight="1">
      <c r="A117" s="23"/>
    </row>
    <row r="118" spans="1:1" ht="14.25" customHeight="1">
      <c r="A118" s="23"/>
    </row>
    <row r="119" spans="1:1" ht="14.25" customHeight="1">
      <c r="A119" s="23"/>
    </row>
    <row r="120" spans="1:1" ht="14.25" customHeight="1">
      <c r="A120" s="23"/>
    </row>
    <row r="121" spans="1:1" ht="14.25" customHeight="1">
      <c r="A121" s="23"/>
    </row>
    <row r="122" spans="1:1" ht="14.25" customHeight="1">
      <c r="A122" s="23"/>
    </row>
    <row r="123" spans="1:1" ht="14.25" customHeight="1">
      <c r="A123" s="23"/>
    </row>
    <row r="124" spans="1:1" ht="14.25" customHeight="1">
      <c r="A124" s="23"/>
    </row>
    <row r="125" spans="1:1" ht="14.25" customHeight="1">
      <c r="A125" s="23"/>
    </row>
    <row r="126" spans="1:1" ht="14.25" customHeight="1">
      <c r="A126" s="23"/>
    </row>
    <row r="127" spans="1:1" ht="14.25" customHeight="1">
      <c r="A127" s="23"/>
    </row>
    <row r="128" spans="1:1" ht="14.25" customHeight="1">
      <c r="A128" s="23"/>
    </row>
    <row r="129" spans="1:1" ht="14.25" customHeight="1">
      <c r="A129" s="23"/>
    </row>
    <row r="130" spans="1:1" ht="14.25" customHeight="1">
      <c r="A130" s="23"/>
    </row>
    <row r="131" spans="1:1" ht="14.25" customHeight="1">
      <c r="A131" s="23"/>
    </row>
    <row r="132" spans="1:1" ht="14.25" customHeight="1">
      <c r="A132" s="23"/>
    </row>
    <row r="133" spans="1:1" ht="14.25" customHeight="1">
      <c r="A133" s="23"/>
    </row>
    <row r="134" spans="1:1" ht="14.25" customHeight="1">
      <c r="A134" s="23"/>
    </row>
    <row r="135" spans="1:1" ht="14.25" customHeight="1">
      <c r="A135" s="23"/>
    </row>
    <row r="136" spans="1:1" ht="14.25" customHeight="1">
      <c r="A136" s="23"/>
    </row>
    <row r="137" spans="1:1" ht="14.25" customHeight="1">
      <c r="A137" s="23"/>
    </row>
    <row r="138" spans="1:1" ht="14.25" customHeight="1">
      <c r="A138" s="23"/>
    </row>
    <row r="139" spans="1:1" ht="14.25" customHeight="1">
      <c r="A139" s="23"/>
    </row>
    <row r="140" spans="1:1" ht="14.25" customHeight="1">
      <c r="A140" s="23"/>
    </row>
    <row r="141" spans="1:1" ht="14.25" customHeight="1">
      <c r="A141" s="23"/>
    </row>
    <row r="142" spans="1:1" ht="14.25" customHeight="1">
      <c r="A142" s="23"/>
    </row>
    <row r="143" spans="1:1" ht="14.25" customHeight="1">
      <c r="A143" s="23"/>
    </row>
    <row r="144" spans="1:1" ht="14.25" customHeight="1">
      <c r="A144" s="23"/>
    </row>
    <row r="145" spans="1:1" ht="14.25" customHeight="1">
      <c r="A145" s="23"/>
    </row>
    <row r="146" spans="1:1" ht="14.25" customHeight="1">
      <c r="A146" s="23"/>
    </row>
    <row r="147" spans="1:1" ht="14.25" customHeight="1">
      <c r="A147" s="23"/>
    </row>
    <row r="148" spans="1:1" ht="14.25" customHeight="1">
      <c r="A148" s="23"/>
    </row>
    <row r="149" spans="1:1" ht="14.25" customHeight="1">
      <c r="A149" s="23"/>
    </row>
    <row r="150" spans="1:1" ht="14.25" customHeight="1">
      <c r="A150" s="23"/>
    </row>
    <row r="151" spans="1:1" ht="14.25" customHeight="1">
      <c r="A151" s="23"/>
    </row>
    <row r="152" spans="1:1" ht="14.25" customHeight="1">
      <c r="A152" s="23"/>
    </row>
    <row r="153" spans="1:1" ht="14.25" customHeight="1">
      <c r="A153" s="23"/>
    </row>
    <row r="154" spans="1:1" ht="14.25" customHeight="1">
      <c r="A154" s="23"/>
    </row>
    <row r="155" spans="1:1" ht="14.25" customHeight="1">
      <c r="A155" s="23"/>
    </row>
    <row r="156" spans="1:1" ht="14.25" customHeight="1">
      <c r="A156" s="23"/>
    </row>
    <row r="157" spans="1:1" ht="14.25" customHeight="1">
      <c r="A157" s="23"/>
    </row>
    <row r="158" spans="1:1" ht="14.25" customHeight="1">
      <c r="A158" s="23"/>
    </row>
    <row r="159" spans="1:1" ht="14.25" customHeight="1">
      <c r="A159" s="23"/>
    </row>
    <row r="160" spans="1:1" ht="14.25" customHeight="1">
      <c r="A160" s="23"/>
    </row>
    <row r="161" spans="1:1" ht="14.25" customHeight="1">
      <c r="A161" s="23"/>
    </row>
    <row r="162" spans="1:1" ht="14.25" customHeight="1">
      <c r="A162" s="23"/>
    </row>
    <row r="163" spans="1:1" ht="14.25" customHeight="1">
      <c r="A163" s="23"/>
    </row>
    <row r="164" spans="1:1" ht="14.25" customHeight="1">
      <c r="A164" s="23"/>
    </row>
    <row r="165" spans="1:1" ht="14.25" customHeight="1">
      <c r="A165" s="23"/>
    </row>
    <row r="166" spans="1:1" ht="14.25" customHeight="1">
      <c r="A166" s="23"/>
    </row>
    <row r="167" spans="1:1" ht="14.25" customHeight="1">
      <c r="A167" s="23"/>
    </row>
    <row r="168" spans="1:1" ht="14.25" customHeight="1">
      <c r="A168" s="23"/>
    </row>
    <row r="169" spans="1:1" ht="14.25" customHeight="1">
      <c r="A169" s="23"/>
    </row>
    <row r="170" spans="1:1" ht="14.25" customHeight="1">
      <c r="A170" s="23"/>
    </row>
    <row r="171" spans="1:1" ht="14.25" customHeight="1">
      <c r="A171" s="23"/>
    </row>
    <row r="172" spans="1:1" ht="14.25" customHeight="1">
      <c r="A172" s="23"/>
    </row>
    <row r="173" spans="1:1" ht="14.25" customHeight="1">
      <c r="A173" s="23"/>
    </row>
    <row r="174" spans="1:1" ht="14.25" customHeight="1">
      <c r="A174" s="23"/>
    </row>
    <row r="175" spans="1:1" ht="14.25" customHeight="1">
      <c r="A175" s="23"/>
    </row>
    <row r="176" spans="1:1" ht="14.25" customHeight="1">
      <c r="A176" s="23"/>
    </row>
    <row r="177" spans="1:1" ht="14.25" customHeight="1">
      <c r="A177" s="23"/>
    </row>
    <row r="178" spans="1:1" ht="14.25" customHeight="1">
      <c r="A178" s="23"/>
    </row>
    <row r="179" spans="1:1" ht="14.25" customHeight="1">
      <c r="A179" s="23"/>
    </row>
    <row r="180" spans="1:1" ht="14.25" customHeight="1">
      <c r="A180" s="23"/>
    </row>
    <row r="181" spans="1:1" ht="14.25" customHeight="1">
      <c r="A181" s="23"/>
    </row>
    <row r="182" spans="1:1" ht="14.25" customHeight="1">
      <c r="A182" s="23"/>
    </row>
    <row r="183" spans="1:1" ht="14.25" customHeight="1">
      <c r="A183" s="23"/>
    </row>
    <row r="184" spans="1:1" ht="14.25" customHeight="1">
      <c r="A184" s="23"/>
    </row>
    <row r="185" spans="1:1" ht="14.25" customHeight="1">
      <c r="A185" s="23"/>
    </row>
    <row r="186" spans="1:1" ht="14.25" customHeight="1">
      <c r="A186" s="23"/>
    </row>
    <row r="187" spans="1:1" ht="14.25" customHeight="1">
      <c r="A187" s="23"/>
    </row>
    <row r="188" spans="1:1" ht="14.25" customHeight="1">
      <c r="A188" s="23"/>
    </row>
    <row r="189" spans="1:1" ht="14.25" customHeight="1">
      <c r="A189" s="23"/>
    </row>
    <row r="190" spans="1:1" ht="14.25" customHeight="1">
      <c r="A190" s="23"/>
    </row>
    <row r="191" spans="1:1" ht="14.25" customHeight="1">
      <c r="A191" s="23"/>
    </row>
    <row r="192" spans="1:1" ht="14.25" customHeight="1">
      <c r="A192" s="23"/>
    </row>
    <row r="193" spans="1:1" ht="14.25" customHeight="1">
      <c r="A193" s="23"/>
    </row>
    <row r="194" spans="1:1" ht="14.25" customHeight="1">
      <c r="A194" s="23"/>
    </row>
    <row r="195" spans="1:1" ht="14.25" customHeight="1">
      <c r="A195" s="23"/>
    </row>
    <row r="196" spans="1:1" ht="14.25" customHeight="1">
      <c r="A196" s="23"/>
    </row>
    <row r="197" spans="1:1" ht="14.25" customHeight="1">
      <c r="A197" s="23"/>
    </row>
    <row r="198" spans="1:1" ht="14.25" customHeight="1">
      <c r="A198" s="23"/>
    </row>
    <row r="199" spans="1:1" ht="14.25" customHeight="1">
      <c r="A199" s="23"/>
    </row>
    <row r="200" spans="1:1" ht="14.25" customHeight="1">
      <c r="A200" s="23"/>
    </row>
    <row r="201" spans="1:1" ht="14.25" customHeight="1">
      <c r="A201" s="23"/>
    </row>
    <row r="202" spans="1:1" ht="14.25" customHeight="1">
      <c r="A202" s="23"/>
    </row>
    <row r="203" spans="1:1" ht="14.25" customHeight="1">
      <c r="A203" s="23"/>
    </row>
    <row r="204" spans="1:1" ht="14.25" customHeight="1">
      <c r="A204" s="23"/>
    </row>
    <row r="205" spans="1:1" ht="14.25" customHeight="1">
      <c r="A205" s="23"/>
    </row>
    <row r="206" spans="1:1" ht="14.25" customHeight="1">
      <c r="A206" s="23"/>
    </row>
    <row r="207" spans="1:1" ht="14.25" customHeight="1">
      <c r="A207" s="23"/>
    </row>
    <row r="208" spans="1:1" ht="14.25" customHeight="1">
      <c r="A208" s="23"/>
    </row>
    <row r="209" spans="1:1" ht="14.25" customHeight="1">
      <c r="A209" s="23"/>
    </row>
    <row r="210" spans="1:1" ht="14.25" customHeight="1">
      <c r="A210" s="23"/>
    </row>
    <row r="211" spans="1:1" ht="14.25" customHeight="1">
      <c r="A211" s="23"/>
    </row>
    <row r="212" spans="1:1" ht="14.25" customHeight="1">
      <c r="A212" s="23"/>
    </row>
    <row r="213" spans="1:1" ht="14.25" customHeight="1">
      <c r="A213" s="23"/>
    </row>
    <row r="214" spans="1:1" ht="14.25" customHeight="1">
      <c r="A214" s="23"/>
    </row>
    <row r="215" spans="1:1" ht="14.25" customHeight="1">
      <c r="A215" s="23"/>
    </row>
    <row r="216" spans="1:1" ht="14.25" customHeight="1">
      <c r="A216" s="23"/>
    </row>
    <row r="217" spans="1:1" ht="14.25" customHeight="1">
      <c r="A217" s="23"/>
    </row>
    <row r="218" spans="1:1" ht="14.25" customHeight="1">
      <c r="A218" s="23"/>
    </row>
    <row r="219" spans="1:1" ht="14.25" customHeight="1">
      <c r="A219" s="23"/>
    </row>
    <row r="220" spans="1:1" ht="14.25" customHeight="1">
      <c r="A220" s="23"/>
    </row>
    <row r="221" spans="1:1" ht="14.25" customHeight="1">
      <c r="A221" s="23"/>
    </row>
    <row r="222" spans="1:1" ht="14.25" customHeight="1">
      <c r="A222" s="23"/>
    </row>
    <row r="223" spans="1:1" ht="14.25" customHeight="1">
      <c r="A223" s="23"/>
    </row>
    <row r="224" spans="1:1" ht="14.25" customHeight="1">
      <c r="A224" s="23"/>
    </row>
    <row r="225" spans="1:1" ht="14.25" customHeight="1">
      <c r="A225" s="23"/>
    </row>
    <row r="226" spans="1:1" ht="14.25" customHeight="1">
      <c r="A226" s="23"/>
    </row>
    <row r="227" spans="1:1" ht="14.25" customHeight="1">
      <c r="A227" s="23"/>
    </row>
    <row r="228" spans="1:1" ht="14.25" customHeight="1">
      <c r="A228" s="23"/>
    </row>
    <row r="229" spans="1:1" ht="14.25" customHeight="1">
      <c r="A229" s="23"/>
    </row>
    <row r="230" spans="1:1" ht="14.25" customHeight="1">
      <c r="A230" s="23"/>
    </row>
    <row r="231" spans="1:1" ht="14.25" customHeight="1">
      <c r="A231" s="23"/>
    </row>
    <row r="232" spans="1:1" ht="14.25" customHeight="1">
      <c r="A232" s="23"/>
    </row>
    <row r="233" spans="1:1" ht="14.25" customHeight="1">
      <c r="A233" s="23"/>
    </row>
    <row r="234" spans="1:1" ht="14.25" customHeight="1">
      <c r="A234" s="23"/>
    </row>
    <row r="235" spans="1:1" ht="14.25" customHeight="1">
      <c r="A235" s="23"/>
    </row>
    <row r="236" spans="1:1" ht="14.25" customHeight="1">
      <c r="A236" s="23"/>
    </row>
    <row r="237" spans="1:1" ht="14.25" customHeight="1">
      <c r="A237" s="23"/>
    </row>
    <row r="238" spans="1:1" ht="14.25" customHeight="1">
      <c r="A238" s="23"/>
    </row>
    <row r="239" spans="1:1" ht="14.25" customHeight="1">
      <c r="A239" s="23"/>
    </row>
    <row r="240" spans="1:1" ht="14.25" customHeight="1">
      <c r="A240" s="23"/>
    </row>
    <row r="241" spans="1:1" ht="14.25" customHeight="1">
      <c r="A241" s="23"/>
    </row>
    <row r="242" spans="1:1" ht="14.25" customHeight="1">
      <c r="A242" s="23"/>
    </row>
    <row r="243" spans="1:1" ht="14.25" customHeight="1">
      <c r="A243" s="23"/>
    </row>
    <row r="244" spans="1:1" ht="14.25" customHeight="1">
      <c r="A244" s="23"/>
    </row>
    <row r="245" spans="1:1" ht="14.25" customHeight="1">
      <c r="A245" s="23"/>
    </row>
    <row r="246" spans="1:1" ht="14.25" customHeight="1">
      <c r="A246" s="23"/>
    </row>
    <row r="247" spans="1:1" ht="14.25" customHeight="1">
      <c r="A247" s="23"/>
    </row>
    <row r="248" spans="1:1" ht="14.25" customHeight="1">
      <c r="A248" s="23"/>
    </row>
    <row r="249" spans="1:1" ht="14.25" customHeight="1">
      <c r="A249" s="23"/>
    </row>
    <row r="250" spans="1:1" ht="14.25" customHeight="1">
      <c r="A250" s="23"/>
    </row>
    <row r="251" spans="1:1" ht="14.25" customHeight="1">
      <c r="A251" s="23"/>
    </row>
    <row r="252" spans="1:1" ht="14.25" customHeight="1">
      <c r="A252" s="23"/>
    </row>
    <row r="253" spans="1:1" ht="14.25" customHeight="1">
      <c r="A253" s="23"/>
    </row>
    <row r="254" spans="1:1" ht="14.25" customHeight="1">
      <c r="A254" s="23"/>
    </row>
    <row r="255" spans="1:1" ht="14.25" customHeight="1">
      <c r="A255" s="23"/>
    </row>
    <row r="256" spans="1:1" ht="14.25" customHeight="1">
      <c r="A256" s="23"/>
    </row>
    <row r="257" spans="1:1" ht="14.25" customHeight="1">
      <c r="A257" s="23"/>
    </row>
    <row r="258" spans="1:1" ht="14.25" customHeight="1">
      <c r="A258" s="23"/>
    </row>
    <row r="259" spans="1:1" ht="14.25" customHeight="1">
      <c r="A259" s="23"/>
    </row>
    <row r="260" spans="1:1" ht="14.25" customHeight="1">
      <c r="A260" s="23"/>
    </row>
    <row r="261" spans="1:1" ht="14.25" customHeight="1">
      <c r="A261" s="23"/>
    </row>
    <row r="262" spans="1:1" ht="14.25" customHeight="1">
      <c r="A262" s="23"/>
    </row>
    <row r="263" spans="1:1" ht="14.25" customHeight="1">
      <c r="A263" s="23"/>
    </row>
    <row r="264" spans="1:1" ht="14.25" customHeight="1">
      <c r="A264" s="23"/>
    </row>
    <row r="265" spans="1:1" ht="14.25" customHeight="1">
      <c r="A265" s="23"/>
    </row>
    <row r="266" spans="1:1" ht="14.25" customHeight="1">
      <c r="A266" s="23"/>
    </row>
    <row r="267" spans="1:1" ht="14.25" customHeight="1">
      <c r="A267" s="23"/>
    </row>
    <row r="268" spans="1:1" ht="14.25" customHeight="1">
      <c r="A268" s="23"/>
    </row>
    <row r="269" spans="1:1" ht="14.25" customHeight="1">
      <c r="A269" s="23"/>
    </row>
    <row r="270" spans="1:1" ht="14.25" customHeight="1">
      <c r="A270" s="23"/>
    </row>
    <row r="271" spans="1:1" ht="14.25" customHeight="1">
      <c r="A271" s="23"/>
    </row>
    <row r="272" spans="1:1" ht="14.25" customHeight="1">
      <c r="A272" s="23"/>
    </row>
    <row r="273" spans="1:1" ht="14.25" customHeight="1">
      <c r="A273" s="23"/>
    </row>
    <row r="274" spans="1:1" ht="14.25" customHeight="1">
      <c r="A274" s="23"/>
    </row>
    <row r="275" spans="1:1" ht="14.25" customHeight="1">
      <c r="A275" s="23"/>
    </row>
    <row r="276" spans="1:1" ht="14.25" customHeight="1">
      <c r="A276" s="23"/>
    </row>
    <row r="277" spans="1:1" ht="14.25" customHeight="1">
      <c r="A277" s="23"/>
    </row>
    <row r="278" spans="1:1" ht="14.25" customHeight="1">
      <c r="A278" s="23"/>
    </row>
    <row r="279" spans="1:1" ht="14.25" customHeight="1">
      <c r="A279" s="23"/>
    </row>
    <row r="280" spans="1:1" ht="14.25" customHeight="1">
      <c r="A280" s="23"/>
    </row>
    <row r="281" spans="1:1" ht="14.25" customHeight="1">
      <c r="A281" s="23"/>
    </row>
    <row r="282" spans="1:1" ht="14.25" customHeight="1">
      <c r="A282" s="23"/>
    </row>
    <row r="283" spans="1:1" ht="14.25" customHeight="1">
      <c r="A283" s="23"/>
    </row>
    <row r="284" spans="1:1" ht="14.25" customHeight="1">
      <c r="A284" s="23"/>
    </row>
    <row r="285" spans="1:1" ht="14.25" customHeight="1">
      <c r="A285" s="23"/>
    </row>
    <row r="286" spans="1:1" ht="14.25" customHeight="1">
      <c r="A286" s="23"/>
    </row>
    <row r="287" spans="1:1" ht="14.25" customHeight="1">
      <c r="A287" s="23"/>
    </row>
    <row r="288" spans="1:1" ht="14.25" customHeight="1">
      <c r="A288" s="23"/>
    </row>
    <row r="289" spans="1:1" ht="14.25" customHeight="1">
      <c r="A289" s="23"/>
    </row>
    <row r="290" spans="1:1" ht="14.25" customHeight="1">
      <c r="A290" s="23"/>
    </row>
    <row r="291" spans="1:1" ht="14.25" customHeight="1">
      <c r="A291" s="23"/>
    </row>
    <row r="292" spans="1:1" ht="14.25" customHeight="1">
      <c r="A292" s="23"/>
    </row>
    <row r="293" spans="1:1" ht="14.25" customHeight="1">
      <c r="A293" s="23"/>
    </row>
    <row r="294" spans="1:1" ht="14.25" customHeight="1">
      <c r="A294" s="23"/>
    </row>
    <row r="295" spans="1:1" ht="14.25" customHeight="1">
      <c r="A295" s="23"/>
    </row>
    <row r="296" spans="1:1" ht="14.25" customHeight="1">
      <c r="A296" s="23"/>
    </row>
    <row r="297" spans="1:1" ht="14.25" customHeight="1">
      <c r="A297" s="23"/>
    </row>
    <row r="298" spans="1:1" ht="14.25" customHeight="1">
      <c r="A298" s="23"/>
    </row>
    <row r="299" spans="1:1" ht="14.25" customHeight="1">
      <c r="A299" s="23"/>
    </row>
    <row r="300" spans="1:1" ht="14.25" customHeight="1">
      <c r="A300" s="23"/>
    </row>
    <row r="301" spans="1:1" ht="14.25" customHeight="1">
      <c r="A301" s="23"/>
    </row>
    <row r="302" spans="1:1" ht="14.25" customHeight="1">
      <c r="A302" s="23"/>
    </row>
    <row r="303" spans="1:1" ht="14.25" customHeight="1">
      <c r="A303" s="23"/>
    </row>
    <row r="304" spans="1:1" ht="14.25" customHeight="1">
      <c r="A304" s="23"/>
    </row>
    <row r="305" spans="1:1" ht="14.25" customHeight="1">
      <c r="A305" s="23"/>
    </row>
    <row r="306" spans="1:1" ht="14.25" customHeight="1">
      <c r="A306" s="23"/>
    </row>
    <row r="307" spans="1:1" ht="14.25" customHeight="1">
      <c r="A307" s="23"/>
    </row>
    <row r="308" spans="1:1" ht="14.25" customHeight="1">
      <c r="A308" s="23"/>
    </row>
    <row r="309" spans="1:1" ht="14.25" customHeight="1">
      <c r="A309" s="23"/>
    </row>
    <row r="310" spans="1:1" ht="14.25" customHeight="1">
      <c r="A310" s="23"/>
    </row>
    <row r="311" spans="1:1" ht="14.25" customHeight="1">
      <c r="A311" s="23"/>
    </row>
    <row r="312" spans="1:1" ht="14.25" customHeight="1">
      <c r="A312" s="23"/>
    </row>
    <row r="313" spans="1:1" ht="14.25" customHeight="1">
      <c r="A313" s="23"/>
    </row>
    <row r="314" spans="1:1" ht="14.25" customHeight="1">
      <c r="A314" s="23"/>
    </row>
    <row r="315" spans="1:1" ht="14.25" customHeight="1">
      <c r="A315" s="23"/>
    </row>
    <row r="316" spans="1:1" ht="14.25" customHeight="1">
      <c r="A316" s="23"/>
    </row>
    <row r="317" spans="1:1" ht="14.25" customHeight="1">
      <c r="A317" s="23"/>
    </row>
    <row r="318" spans="1:1" ht="14.25" customHeight="1">
      <c r="A318" s="23"/>
    </row>
    <row r="319" spans="1:1" ht="14.25" customHeight="1">
      <c r="A319" s="23"/>
    </row>
    <row r="320" spans="1:1" ht="14.25" customHeight="1">
      <c r="A320" s="23"/>
    </row>
    <row r="321" spans="1:1" ht="14.25" customHeight="1">
      <c r="A321" s="23"/>
    </row>
    <row r="322" spans="1:1" ht="14.25" customHeight="1">
      <c r="A322" s="23"/>
    </row>
    <row r="323" spans="1:1" ht="14.25" customHeight="1">
      <c r="A323" s="23"/>
    </row>
    <row r="324" spans="1:1" ht="14.25" customHeight="1">
      <c r="A324" s="23"/>
    </row>
    <row r="325" spans="1:1" ht="14.25" customHeight="1">
      <c r="A325" s="23"/>
    </row>
    <row r="326" spans="1:1" ht="14.25" customHeight="1">
      <c r="A326" s="23"/>
    </row>
    <row r="327" spans="1:1" ht="14.25" customHeight="1">
      <c r="A327" s="23"/>
    </row>
    <row r="328" spans="1:1" ht="14.25" customHeight="1">
      <c r="A328" s="23"/>
    </row>
    <row r="329" spans="1:1" ht="14.25" customHeight="1">
      <c r="A329" s="23"/>
    </row>
    <row r="330" spans="1:1" ht="14.25" customHeight="1">
      <c r="A330" s="23"/>
    </row>
    <row r="331" spans="1:1" ht="14.25" customHeight="1">
      <c r="A331" s="23"/>
    </row>
    <row r="332" spans="1:1" ht="14.25" customHeight="1">
      <c r="A332" s="23"/>
    </row>
    <row r="333" spans="1:1" ht="14.25" customHeight="1">
      <c r="A333" s="23"/>
    </row>
    <row r="334" spans="1:1" ht="14.25" customHeight="1">
      <c r="A334" s="23"/>
    </row>
    <row r="335" spans="1:1" ht="14.25" customHeight="1">
      <c r="A335" s="23"/>
    </row>
    <row r="336" spans="1:1" ht="14.25" customHeight="1">
      <c r="A336" s="23"/>
    </row>
    <row r="337" spans="1:1" ht="14.25" customHeight="1">
      <c r="A337" s="23"/>
    </row>
    <row r="338" spans="1:1" ht="14.25" customHeight="1">
      <c r="A338" s="23"/>
    </row>
    <row r="339" spans="1:1" ht="14.25" customHeight="1">
      <c r="A339" s="23"/>
    </row>
    <row r="340" spans="1:1" ht="14.25" customHeight="1">
      <c r="A340" s="23"/>
    </row>
    <row r="341" spans="1:1" ht="14.25" customHeight="1">
      <c r="A341" s="23"/>
    </row>
    <row r="342" spans="1:1" ht="14.25" customHeight="1">
      <c r="A342" s="23"/>
    </row>
    <row r="343" spans="1:1" ht="14.25" customHeight="1">
      <c r="A343" s="23"/>
    </row>
    <row r="344" spans="1:1" ht="14.25" customHeight="1">
      <c r="A344" s="23"/>
    </row>
    <row r="345" spans="1:1" ht="14.25" customHeight="1">
      <c r="A345" s="23"/>
    </row>
    <row r="346" spans="1:1" ht="14.25" customHeight="1">
      <c r="A346" s="23"/>
    </row>
    <row r="347" spans="1:1" ht="14.25" customHeight="1">
      <c r="A347" s="23"/>
    </row>
    <row r="348" spans="1:1" ht="14.25" customHeight="1">
      <c r="A348" s="23"/>
    </row>
    <row r="349" spans="1:1" ht="14.25" customHeight="1">
      <c r="A349" s="23"/>
    </row>
    <row r="350" spans="1:1" ht="14.25" customHeight="1">
      <c r="A350" s="23"/>
    </row>
    <row r="351" spans="1:1" ht="14.25" customHeight="1">
      <c r="A351" s="23"/>
    </row>
    <row r="352" spans="1:1" ht="14.25" customHeight="1">
      <c r="A352" s="23"/>
    </row>
    <row r="353" spans="1:1" ht="14.25" customHeight="1">
      <c r="A353" s="23"/>
    </row>
    <row r="354" spans="1:1" ht="14.25" customHeight="1">
      <c r="A354" s="23"/>
    </row>
    <row r="355" spans="1:1" ht="14.25" customHeight="1">
      <c r="A355" s="23"/>
    </row>
    <row r="356" spans="1:1" ht="14.25" customHeight="1">
      <c r="A356" s="23"/>
    </row>
    <row r="357" spans="1:1" ht="14.25" customHeight="1">
      <c r="A357" s="23"/>
    </row>
    <row r="358" spans="1:1" ht="14.25" customHeight="1">
      <c r="A358" s="23"/>
    </row>
    <row r="359" spans="1:1" ht="14.25" customHeight="1">
      <c r="A359" s="23"/>
    </row>
    <row r="360" spans="1:1" ht="14.25" customHeight="1">
      <c r="A360" s="23"/>
    </row>
    <row r="361" spans="1:1" ht="14.25" customHeight="1">
      <c r="A361" s="23"/>
    </row>
    <row r="362" spans="1:1" ht="14.25" customHeight="1">
      <c r="A362" s="23"/>
    </row>
    <row r="363" spans="1:1" ht="14.25" customHeight="1">
      <c r="A363" s="23"/>
    </row>
    <row r="364" spans="1:1" ht="14.25" customHeight="1">
      <c r="A364" s="23"/>
    </row>
    <row r="365" spans="1:1" ht="14.25" customHeight="1">
      <c r="A365" s="23"/>
    </row>
    <row r="366" spans="1:1" ht="14.25" customHeight="1">
      <c r="A366" s="23"/>
    </row>
    <row r="367" spans="1:1" ht="14.25" customHeight="1">
      <c r="A367" s="23"/>
    </row>
    <row r="368" spans="1:1" ht="14.25" customHeight="1">
      <c r="A368" s="23"/>
    </row>
    <row r="369" spans="1:1" ht="14.25" customHeight="1">
      <c r="A369" s="23"/>
    </row>
    <row r="370" spans="1:1" ht="14.25" customHeight="1">
      <c r="A370" s="23"/>
    </row>
    <row r="371" spans="1:1" ht="14.25" customHeight="1">
      <c r="A371" s="23"/>
    </row>
    <row r="372" spans="1:1" ht="14.25" customHeight="1">
      <c r="A372" s="23"/>
    </row>
    <row r="373" spans="1:1" ht="14.25" customHeight="1">
      <c r="A373" s="23"/>
    </row>
    <row r="374" spans="1:1" ht="14.25" customHeight="1">
      <c r="A374" s="23"/>
    </row>
    <row r="375" spans="1:1" ht="14.25" customHeight="1">
      <c r="A375" s="23"/>
    </row>
    <row r="376" spans="1:1" ht="14.25" customHeight="1">
      <c r="A376" s="23"/>
    </row>
    <row r="377" spans="1:1" ht="14.25" customHeight="1">
      <c r="A377" s="23"/>
    </row>
    <row r="378" spans="1:1" ht="14.25" customHeight="1">
      <c r="A378" s="23"/>
    </row>
    <row r="379" spans="1:1" ht="14.25" customHeight="1">
      <c r="A379" s="23"/>
    </row>
    <row r="380" spans="1:1" ht="14.25" customHeight="1">
      <c r="A380" s="23"/>
    </row>
    <row r="381" spans="1:1" ht="14.25" customHeight="1">
      <c r="A381" s="23"/>
    </row>
    <row r="382" spans="1:1" ht="14.25" customHeight="1">
      <c r="A382" s="23"/>
    </row>
    <row r="383" spans="1:1" ht="14.25" customHeight="1">
      <c r="A383" s="23"/>
    </row>
    <row r="384" spans="1:1" ht="14.25" customHeight="1">
      <c r="A384" s="23"/>
    </row>
    <row r="385" spans="1:1" ht="14.25" customHeight="1">
      <c r="A385" s="23"/>
    </row>
    <row r="386" spans="1:1" ht="14.25" customHeight="1">
      <c r="A386" s="23"/>
    </row>
    <row r="387" spans="1:1" ht="14.25" customHeight="1">
      <c r="A387" s="23"/>
    </row>
    <row r="388" spans="1:1" ht="14.25" customHeight="1">
      <c r="A388" s="23"/>
    </row>
    <row r="389" spans="1:1" ht="14.25" customHeight="1">
      <c r="A389" s="23"/>
    </row>
    <row r="390" spans="1:1" ht="14.25" customHeight="1">
      <c r="A390" s="23"/>
    </row>
    <row r="391" spans="1:1" ht="14.25" customHeight="1">
      <c r="A391" s="23"/>
    </row>
    <row r="392" spans="1:1" ht="14.25" customHeight="1">
      <c r="A392" s="23"/>
    </row>
    <row r="393" spans="1:1" ht="14.25" customHeight="1">
      <c r="A393" s="23"/>
    </row>
    <row r="394" spans="1:1" ht="14.25" customHeight="1">
      <c r="A394" s="23"/>
    </row>
    <row r="395" spans="1:1" ht="14.25" customHeight="1">
      <c r="A395" s="23"/>
    </row>
    <row r="396" spans="1:1" ht="14.25" customHeight="1">
      <c r="A396" s="23"/>
    </row>
    <row r="397" spans="1:1" ht="14.25" customHeight="1">
      <c r="A397" s="23"/>
    </row>
    <row r="398" spans="1:1" ht="14.25" customHeight="1">
      <c r="A398" s="23"/>
    </row>
    <row r="399" spans="1:1" ht="14.25" customHeight="1">
      <c r="A399" s="23"/>
    </row>
    <row r="400" spans="1:1" ht="14.25" customHeight="1">
      <c r="A400" s="23"/>
    </row>
    <row r="401" spans="1:1" ht="14.25" customHeight="1">
      <c r="A401" s="23"/>
    </row>
    <row r="402" spans="1:1" ht="14.25" customHeight="1">
      <c r="A402" s="23"/>
    </row>
    <row r="403" spans="1:1" ht="14.25" customHeight="1">
      <c r="A403" s="23"/>
    </row>
    <row r="404" spans="1:1" ht="14.25" customHeight="1">
      <c r="A404" s="23"/>
    </row>
    <row r="405" spans="1:1" ht="14.25" customHeight="1">
      <c r="A405" s="23"/>
    </row>
    <row r="406" spans="1:1" ht="14.25" customHeight="1">
      <c r="A406" s="23"/>
    </row>
    <row r="407" spans="1:1" ht="14.25" customHeight="1">
      <c r="A407" s="23"/>
    </row>
    <row r="408" spans="1:1" ht="14.25" customHeight="1">
      <c r="A408" s="23"/>
    </row>
    <row r="409" spans="1:1" ht="14.25" customHeight="1">
      <c r="A409" s="23"/>
    </row>
    <row r="410" spans="1:1" ht="14.25" customHeight="1">
      <c r="A410" s="23"/>
    </row>
    <row r="411" spans="1:1" ht="14.25" customHeight="1">
      <c r="A411" s="23"/>
    </row>
    <row r="412" spans="1:1" ht="14.25" customHeight="1">
      <c r="A412" s="23"/>
    </row>
    <row r="413" spans="1:1" ht="14.25" customHeight="1">
      <c r="A413" s="23"/>
    </row>
    <row r="414" spans="1:1" ht="14.25" customHeight="1">
      <c r="A414" s="23"/>
    </row>
    <row r="415" spans="1:1" ht="14.25" customHeight="1">
      <c r="A415" s="23"/>
    </row>
    <row r="416" spans="1:1" ht="14.25" customHeight="1">
      <c r="A416" s="23"/>
    </row>
    <row r="417" spans="1:1" ht="14.25" customHeight="1">
      <c r="A417" s="23"/>
    </row>
    <row r="418" spans="1:1" ht="14.25" customHeight="1">
      <c r="A418" s="23"/>
    </row>
    <row r="419" spans="1:1" ht="14.25" customHeight="1">
      <c r="A419" s="23"/>
    </row>
    <row r="420" spans="1:1" ht="14.25" customHeight="1">
      <c r="A420" s="23"/>
    </row>
    <row r="421" spans="1:1" ht="14.25" customHeight="1">
      <c r="A421" s="23"/>
    </row>
    <row r="422" spans="1:1" ht="14.25" customHeight="1">
      <c r="A422" s="23"/>
    </row>
    <row r="423" spans="1:1" ht="14.25" customHeight="1">
      <c r="A423" s="23"/>
    </row>
    <row r="424" spans="1:1" ht="14.25" customHeight="1">
      <c r="A424" s="23"/>
    </row>
    <row r="425" spans="1:1" ht="14.25" customHeight="1">
      <c r="A425" s="23"/>
    </row>
    <row r="426" spans="1:1" ht="14.25" customHeight="1">
      <c r="A426" s="23"/>
    </row>
    <row r="427" spans="1:1" ht="14.25" customHeight="1">
      <c r="A427" s="23"/>
    </row>
    <row r="428" spans="1:1" ht="14.25" customHeight="1">
      <c r="A428" s="23"/>
    </row>
    <row r="429" spans="1:1" ht="14.25" customHeight="1">
      <c r="A429" s="23"/>
    </row>
    <row r="430" spans="1:1" ht="14.25" customHeight="1">
      <c r="A430" s="23"/>
    </row>
    <row r="431" spans="1:1" ht="14.25" customHeight="1">
      <c r="A431" s="23"/>
    </row>
    <row r="432" spans="1:1" ht="14.25" customHeight="1">
      <c r="A432" s="23"/>
    </row>
    <row r="433" spans="1:1" ht="14.25" customHeight="1">
      <c r="A433" s="23"/>
    </row>
    <row r="434" spans="1:1" ht="14.25" customHeight="1">
      <c r="A434" s="23"/>
    </row>
    <row r="435" spans="1:1" ht="14.25" customHeight="1">
      <c r="A435" s="23"/>
    </row>
    <row r="436" spans="1:1" ht="14.25" customHeight="1">
      <c r="A436" s="23"/>
    </row>
    <row r="437" spans="1:1" ht="14.25" customHeight="1">
      <c r="A437" s="23"/>
    </row>
    <row r="438" spans="1:1" ht="14.25" customHeight="1">
      <c r="A438" s="23"/>
    </row>
    <row r="439" spans="1:1" ht="14.25" customHeight="1">
      <c r="A439" s="23"/>
    </row>
    <row r="440" spans="1:1" ht="14.25" customHeight="1">
      <c r="A440" s="23"/>
    </row>
    <row r="441" spans="1:1" ht="14.25" customHeight="1">
      <c r="A441" s="23"/>
    </row>
    <row r="442" spans="1:1" ht="14.25" customHeight="1">
      <c r="A442" s="23"/>
    </row>
    <row r="443" spans="1:1" ht="14.25" customHeight="1">
      <c r="A443" s="23"/>
    </row>
    <row r="444" spans="1:1" ht="14.25" customHeight="1">
      <c r="A444" s="23"/>
    </row>
    <row r="445" spans="1:1" ht="14.25" customHeight="1">
      <c r="A445" s="23"/>
    </row>
    <row r="446" spans="1:1" ht="14.25" customHeight="1">
      <c r="A446" s="23"/>
    </row>
    <row r="447" spans="1:1" ht="14.25" customHeight="1">
      <c r="A447" s="23"/>
    </row>
    <row r="448" spans="1:1" ht="14.25" customHeight="1">
      <c r="A448" s="23"/>
    </row>
    <row r="449" spans="1:1" ht="14.25" customHeight="1">
      <c r="A449" s="23"/>
    </row>
    <row r="450" spans="1:1" ht="14.25" customHeight="1">
      <c r="A450" s="23"/>
    </row>
    <row r="451" spans="1:1" ht="14.25" customHeight="1">
      <c r="A451" s="23"/>
    </row>
    <row r="452" spans="1:1" ht="14.25" customHeight="1">
      <c r="A452" s="23"/>
    </row>
    <row r="453" spans="1:1" ht="14.25" customHeight="1">
      <c r="A453" s="23"/>
    </row>
    <row r="454" spans="1:1" ht="14.25" customHeight="1">
      <c r="A454" s="23"/>
    </row>
    <row r="455" spans="1:1" ht="14.25" customHeight="1">
      <c r="A455" s="23"/>
    </row>
    <row r="456" spans="1:1" ht="14.25" customHeight="1">
      <c r="A456" s="23"/>
    </row>
    <row r="457" spans="1:1" ht="14.25" customHeight="1">
      <c r="A457" s="23"/>
    </row>
    <row r="458" spans="1:1" ht="14.25" customHeight="1">
      <c r="A458" s="23"/>
    </row>
    <row r="459" spans="1:1" ht="14.25" customHeight="1">
      <c r="A459" s="23"/>
    </row>
    <row r="460" spans="1:1" ht="14.25" customHeight="1">
      <c r="A460" s="23"/>
    </row>
    <row r="461" spans="1:1" ht="14.25" customHeight="1">
      <c r="A461" s="23"/>
    </row>
    <row r="462" spans="1:1" ht="14.25" customHeight="1">
      <c r="A462" s="23"/>
    </row>
    <row r="463" spans="1:1" ht="14.25" customHeight="1">
      <c r="A463" s="23"/>
    </row>
    <row r="464" spans="1:1" ht="14.25" customHeight="1">
      <c r="A464" s="23"/>
    </row>
    <row r="465" spans="1:1" ht="14.25" customHeight="1">
      <c r="A465" s="23"/>
    </row>
    <row r="466" spans="1:1" ht="14.25" customHeight="1">
      <c r="A466" s="23"/>
    </row>
    <row r="467" spans="1:1" ht="14.25" customHeight="1">
      <c r="A467" s="23"/>
    </row>
    <row r="468" spans="1:1" ht="14.25" customHeight="1">
      <c r="A468" s="23"/>
    </row>
    <row r="469" spans="1:1" ht="14.25" customHeight="1">
      <c r="A469" s="23"/>
    </row>
    <row r="470" spans="1:1" ht="14.25" customHeight="1">
      <c r="A470" s="23"/>
    </row>
    <row r="471" spans="1:1" ht="14.25" customHeight="1">
      <c r="A471" s="23"/>
    </row>
    <row r="472" spans="1:1" ht="14.25" customHeight="1">
      <c r="A472" s="23"/>
    </row>
    <row r="473" spans="1:1" ht="14.25" customHeight="1">
      <c r="A473" s="23"/>
    </row>
    <row r="474" spans="1:1" ht="14.25" customHeight="1">
      <c r="A474" s="23"/>
    </row>
    <row r="475" spans="1:1" ht="14.25" customHeight="1">
      <c r="A475" s="23"/>
    </row>
    <row r="476" spans="1:1" ht="14.25" customHeight="1">
      <c r="A476" s="23"/>
    </row>
    <row r="477" spans="1:1" ht="14.25" customHeight="1">
      <c r="A477" s="23"/>
    </row>
    <row r="478" spans="1:1" ht="14.25" customHeight="1">
      <c r="A478" s="23"/>
    </row>
    <row r="479" spans="1:1" ht="14.25" customHeight="1">
      <c r="A479" s="23"/>
    </row>
    <row r="480" spans="1:1" ht="14.25" customHeight="1">
      <c r="A480" s="23"/>
    </row>
    <row r="481" spans="1:1" ht="14.25" customHeight="1">
      <c r="A481" s="23"/>
    </row>
    <row r="482" spans="1:1" ht="14.25" customHeight="1">
      <c r="A482" s="23"/>
    </row>
    <row r="483" spans="1:1" ht="14.25" customHeight="1">
      <c r="A483" s="23"/>
    </row>
    <row r="484" spans="1:1" ht="14.25" customHeight="1">
      <c r="A484" s="23"/>
    </row>
    <row r="485" spans="1:1" ht="14.25" customHeight="1">
      <c r="A485" s="23"/>
    </row>
    <row r="486" spans="1:1" ht="14.25" customHeight="1">
      <c r="A486" s="23"/>
    </row>
    <row r="487" spans="1:1" ht="14.25" customHeight="1">
      <c r="A487" s="23"/>
    </row>
    <row r="488" spans="1:1" ht="14.25" customHeight="1">
      <c r="A488" s="23"/>
    </row>
    <row r="489" spans="1:1" ht="14.25" customHeight="1">
      <c r="A489" s="23"/>
    </row>
    <row r="490" spans="1:1" ht="14.25" customHeight="1">
      <c r="A490" s="23"/>
    </row>
    <row r="491" spans="1:1" ht="14.25" customHeight="1">
      <c r="A491" s="23"/>
    </row>
    <row r="492" spans="1:1" ht="14.25" customHeight="1">
      <c r="A492" s="23"/>
    </row>
    <row r="493" spans="1:1" ht="14.25" customHeight="1">
      <c r="A493" s="23"/>
    </row>
    <row r="494" spans="1:1" ht="14.25" customHeight="1">
      <c r="A494" s="23"/>
    </row>
    <row r="495" spans="1:1" ht="14.25" customHeight="1">
      <c r="A495" s="23"/>
    </row>
    <row r="496" spans="1:1" ht="14.25" customHeight="1">
      <c r="A496" s="23"/>
    </row>
    <row r="497" spans="1:1" ht="14.25" customHeight="1">
      <c r="A497" s="23"/>
    </row>
    <row r="498" spans="1:1" ht="14.25" customHeight="1">
      <c r="A498" s="23"/>
    </row>
    <row r="499" spans="1:1" ht="14.25" customHeight="1">
      <c r="A499" s="23"/>
    </row>
    <row r="500" spans="1:1" ht="14.25" customHeight="1">
      <c r="A500" s="23"/>
    </row>
    <row r="501" spans="1:1" ht="14.25" customHeight="1">
      <c r="A501" s="23"/>
    </row>
    <row r="502" spans="1:1" ht="14.25" customHeight="1">
      <c r="A502" s="23"/>
    </row>
    <row r="503" spans="1:1" ht="14.25" customHeight="1">
      <c r="A503" s="23"/>
    </row>
    <row r="504" spans="1:1" ht="14.25" customHeight="1">
      <c r="A504" s="23"/>
    </row>
    <row r="505" spans="1:1" ht="14.25" customHeight="1">
      <c r="A505" s="23"/>
    </row>
    <row r="506" spans="1:1" ht="14.25" customHeight="1">
      <c r="A506" s="23"/>
    </row>
    <row r="507" spans="1:1" ht="14.25" customHeight="1">
      <c r="A507" s="23"/>
    </row>
    <row r="508" spans="1:1" ht="14.25" customHeight="1">
      <c r="A508" s="23"/>
    </row>
    <row r="509" spans="1:1" ht="14.25" customHeight="1">
      <c r="A509" s="23"/>
    </row>
    <row r="510" spans="1:1" ht="14.25" customHeight="1">
      <c r="A510" s="23"/>
    </row>
    <row r="511" spans="1:1" ht="14.25" customHeight="1">
      <c r="A511" s="23"/>
    </row>
    <row r="512" spans="1:1" ht="14.25" customHeight="1">
      <c r="A512" s="23"/>
    </row>
    <row r="513" spans="1:1" ht="14.25" customHeight="1">
      <c r="A513" s="23"/>
    </row>
    <row r="514" spans="1:1" ht="14.25" customHeight="1">
      <c r="A514" s="23"/>
    </row>
    <row r="515" spans="1:1" ht="14.25" customHeight="1">
      <c r="A515" s="23"/>
    </row>
    <row r="516" spans="1:1" ht="14.25" customHeight="1">
      <c r="A516" s="23"/>
    </row>
    <row r="517" spans="1:1" ht="14.25" customHeight="1">
      <c r="A517" s="23"/>
    </row>
    <row r="518" spans="1:1" ht="14.25" customHeight="1">
      <c r="A518" s="23"/>
    </row>
    <row r="519" spans="1:1" ht="14.25" customHeight="1">
      <c r="A519" s="23"/>
    </row>
    <row r="520" spans="1:1" ht="14.25" customHeight="1">
      <c r="A520" s="23"/>
    </row>
    <row r="521" spans="1:1" ht="14.25" customHeight="1">
      <c r="A521" s="23"/>
    </row>
    <row r="522" spans="1:1" ht="14.25" customHeight="1">
      <c r="A522" s="23"/>
    </row>
    <row r="523" spans="1:1" ht="14.25" customHeight="1">
      <c r="A523" s="23"/>
    </row>
    <row r="524" spans="1:1" ht="14.25" customHeight="1">
      <c r="A524" s="23"/>
    </row>
    <row r="525" spans="1:1" ht="14.25" customHeight="1">
      <c r="A525" s="23"/>
    </row>
    <row r="526" spans="1:1" ht="14.25" customHeight="1">
      <c r="A526" s="23"/>
    </row>
    <row r="527" spans="1:1" ht="14.25" customHeight="1">
      <c r="A527" s="23"/>
    </row>
    <row r="528" spans="1:1" ht="14.25" customHeight="1">
      <c r="A528" s="23"/>
    </row>
    <row r="529" spans="1:1" ht="14.25" customHeight="1">
      <c r="A529" s="23"/>
    </row>
    <row r="530" spans="1:1" ht="14.25" customHeight="1">
      <c r="A530" s="23"/>
    </row>
    <row r="531" spans="1:1" ht="14.25" customHeight="1">
      <c r="A531" s="23"/>
    </row>
    <row r="532" spans="1:1" ht="14.25" customHeight="1">
      <c r="A532" s="23"/>
    </row>
    <row r="533" spans="1:1" ht="14.25" customHeight="1">
      <c r="A533" s="23"/>
    </row>
    <row r="534" spans="1:1" ht="14.25" customHeight="1">
      <c r="A534" s="23"/>
    </row>
    <row r="535" spans="1:1" ht="14.25" customHeight="1">
      <c r="A535" s="23"/>
    </row>
    <row r="536" spans="1:1" ht="14.25" customHeight="1">
      <c r="A536" s="23"/>
    </row>
    <row r="537" spans="1:1" ht="14.25" customHeight="1">
      <c r="A537" s="23"/>
    </row>
    <row r="538" spans="1:1" ht="14.25" customHeight="1">
      <c r="A538" s="23"/>
    </row>
    <row r="539" spans="1:1" ht="14.25" customHeight="1">
      <c r="A539" s="23"/>
    </row>
    <row r="540" spans="1:1" ht="14.25" customHeight="1">
      <c r="A540" s="23"/>
    </row>
    <row r="541" spans="1:1" ht="14.25" customHeight="1">
      <c r="A541" s="23"/>
    </row>
    <row r="542" spans="1:1" ht="14.25" customHeight="1">
      <c r="A542" s="23"/>
    </row>
    <row r="543" spans="1:1" ht="14.25" customHeight="1">
      <c r="A543" s="23"/>
    </row>
    <row r="544" spans="1:1" ht="14.25" customHeight="1">
      <c r="A544" s="23"/>
    </row>
    <row r="545" spans="1:1" ht="14.25" customHeight="1">
      <c r="A545" s="23"/>
    </row>
    <row r="546" spans="1:1" ht="14.25" customHeight="1">
      <c r="A546" s="23"/>
    </row>
    <row r="547" spans="1:1" ht="14.25" customHeight="1">
      <c r="A547" s="23"/>
    </row>
    <row r="548" spans="1:1" ht="14.25" customHeight="1">
      <c r="A548" s="23"/>
    </row>
    <row r="549" spans="1:1" ht="14.25" customHeight="1">
      <c r="A549" s="23"/>
    </row>
    <row r="550" spans="1:1" ht="14.25" customHeight="1">
      <c r="A550" s="23"/>
    </row>
    <row r="551" spans="1:1" ht="14.25" customHeight="1">
      <c r="A551" s="23"/>
    </row>
    <row r="552" spans="1:1" ht="14.25" customHeight="1">
      <c r="A552" s="23"/>
    </row>
    <row r="553" spans="1:1" ht="14.25" customHeight="1">
      <c r="A553" s="23"/>
    </row>
    <row r="554" spans="1:1" ht="14.25" customHeight="1">
      <c r="A554" s="23"/>
    </row>
    <row r="555" spans="1:1" ht="14.25" customHeight="1">
      <c r="A555" s="23"/>
    </row>
    <row r="556" spans="1:1" ht="14.25" customHeight="1">
      <c r="A556" s="23"/>
    </row>
    <row r="557" spans="1:1" ht="14.25" customHeight="1">
      <c r="A557" s="23"/>
    </row>
    <row r="558" spans="1:1" ht="14.25" customHeight="1">
      <c r="A558" s="23"/>
    </row>
    <row r="559" spans="1:1" ht="14.25" customHeight="1">
      <c r="A559" s="23"/>
    </row>
    <row r="560" spans="1:1" ht="14.25" customHeight="1">
      <c r="A560" s="23"/>
    </row>
    <row r="561" spans="1:1" ht="14.25" customHeight="1">
      <c r="A561" s="23"/>
    </row>
    <row r="562" spans="1:1" ht="14.25" customHeight="1">
      <c r="A562" s="23"/>
    </row>
    <row r="563" spans="1:1" ht="14.25" customHeight="1">
      <c r="A563" s="23"/>
    </row>
    <row r="564" spans="1:1" ht="14.25" customHeight="1">
      <c r="A564" s="23"/>
    </row>
    <row r="565" spans="1:1" ht="14.25" customHeight="1">
      <c r="A565" s="23"/>
    </row>
    <row r="566" spans="1:1" ht="14.25" customHeight="1">
      <c r="A566" s="23"/>
    </row>
    <row r="567" spans="1:1" ht="14.25" customHeight="1">
      <c r="A567" s="23"/>
    </row>
    <row r="568" spans="1:1" ht="14.25" customHeight="1">
      <c r="A568" s="23"/>
    </row>
    <row r="569" spans="1:1" ht="14.25" customHeight="1">
      <c r="A569" s="23"/>
    </row>
    <row r="570" spans="1:1" ht="14.25" customHeight="1">
      <c r="A570" s="23"/>
    </row>
    <row r="571" spans="1:1" ht="14.25" customHeight="1">
      <c r="A571" s="23"/>
    </row>
    <row r="572" spans="1:1" ht="14.25" customHeight="1">
      <c r="A572" s="23"/>
    </row>
    <row r="573" spans="1:1" ht="14.25" customHeight="1">
      <c r="A573" s="23"/>
    </row>
    <row r="574" spans="1:1" ht="14.25" customHeight="1">
      <c r="A574" s="23"/>
    </row>
    <row r="575" spans="1:1" ht="14.25" customHeight="1">
      <c r="A575" s="23"/>
    </row>
    <row r="576" spans="1:1" ht="14.25" customHeight="1">
      <c r="A576" s="23"/>
    </row>
    <row r="577" spans="1:1" ht="14.25" customHeight="1">
      <c r="A577" s="23"/>
    </row>
    <row r="578" spans="1:1" ht="14.25" customHeight="1">
      <c r="A578" s="23"/>
    </row>
    <row r="579" spans="1:1" ht="14.25" customHeight="1">
      <c r="A579" s="23"/>
    </row>
    <row r="580" spans="1:1" ht="14.25" customHeight="1">
      <c r="A580" s="23"/>
    </row>
    <row r="581" spans="1:1" ht="14.25" customHeight="1">
      <c r="A581" s="23"/>
    </row>
    <row r="582" spans="1:1" ht="14.25" customHeight="1">
      <c r="A582" s="23"/>
    </row>
    <row r="583" spans="1:1" ht="14.25" customHeight="1">
      <c r="A583" s="23"/>
    </row>
    <row r="584" spans="1:1" ht="14.25" customHeight="1">
      <c r="A584" s="23"/>
    </row>
    <row r="585" spans="1:1" ht="14.25" customHeight="1">
      <c r="A585" s="23"/>
    </row>
    <row r="586" spans="1:1" ht="14.25" customHeight="1">
      <c r="A586" s="23"/>
    </row>
    <row r="587" spans="1:1" ht="14.25" customHeight="1">
      <c r="A587" s="23"/>
    </row>
    <row r="588" spans="1:1" ht="14.25" customHeight="1">
      <c r="A588" s="23"/>
    </row>
    <row r="589" spans="1:1" ht="14.25" customHeight="1">
      <c r="A589" s="23"/>
    </row>
    <row r="590" spans="1:1" ht="14.25" customHeight="1">
      <c r="A590" s="23"/>
    </row>
    <row r="591" spans="1:1" ht="14.25" customHeight="1">
      <c r="A591" s="23"/>
    </row>
    <row r="592" spans="1:1" ht="14.25" customHeight="1">
      <c r="A592" s="23"/>
    </row>
    <row r="593" spans="1:1" ht="14.25" customHeight="1">
      <c r="A593" s="23"/>
    </row>
    <row r="594" spans="1:1" ht="14.25" customHeight="1">
      <c r="A594" s="23"/>
    </row>
    <row r="595" spans="1:1" ht="14.25" customHeight="1">
      <c r="A595" s="23"/>
    </row>
    <row r="596" spans="1:1" ht="14.25" customHeight="1">
      <c r="A596" s="23"/>
    </row>
    <row r="597" spans="1:1" ht="14.25" customHeight="1">
      <c r="A597" s="23"/>
    </row>
    <row r="598" spans="1:1" ht="14.25" customHeight="1">
      <c r="A598" s="23"/>
    </row>
    <row r="599" spans="1:1" ht="14.25" customHeight="1">
      <c r="A599" s="23"/>
    </row>
    <row r="600" spans="1:1" ht="14.25" customHeight="1">
      <c r="A600" s="23"/>
    </row>
    <row r="601" spans="1:1" ht="14.25" customHeight="1">
      <c r="A601" s="23"/>
    </row>
    <row r="602" spans="1:1" ht="14.25" customHeight="1">
      <c r="A602" s="23"/>
    </row>
    <row r="603" spans="1:1" ht="14.25" customHeight="1">
      <c r="A603" s="23"/>
    </row>
    <row r="604" spans="1:1" ht="14.25" customHeight="1">
      <c r="A604" s="23"/>
    </row>
    <row r="605" spans="1:1" ht="14.25" customHeight="1">
      <c r="A605" s="23"/>
    </row>
    <row r="606" spans="1:1" ht="14.25" customHeight="1">
      <c r="A606" s="23"/>
    </row>
    <row r="607" spans="1:1" ht="14.25" customHeight="1">
      <c r="A607" s="23"/>
    </row>
    <row r="608" spans="1:1" ht="14.25" customHeight="1">
      <c r="A608" s="23"/>
    </row>
    <row r="609" spans="1:1" ht="14.25" customHeight="1">
      <c r="A609" s="23"/>
    </row>
    <row r="610" spans="1:1" ht="14.25" customHeight="1">
      <c r="A610" s="23"/>
    </row>
    <row r="611" spans="1:1" ht="14.25" customHeight="1">
      <c r="A611" s="23"/>
    </row>
    <row r="612" spans="1:1" ht="14.25" customHeight="1">
      <c r="A612" s="23"/>
    </row>
    <row r="613" spans="1:1" ht="14.25" customHeight="1">
      <c r="A613" s="23"/>
    </row>
    <row r="614" spans="1:1" ht="14.25" customHeight="1">
      <c r="A614" s="23"/>
    </row>
    <row r="615" spans="1:1" ht="14.25" customHeight="1">
      <c r="A615" s="23"/>
    </row>
    <row r="616" spans="1:1" ht="14.25" customHeight="1">
      <c r="A616" s="23"/>
    </row>
    <row r="617" spans="1:1" ht="14.25" customHeight="1">
      <c r="A617" s="23"/>
    </row>
    <row r="618" spans="1:1" ht="14.25" customHeight="1">
      <c r="A618" s="23"/>
    </row>
    <row r="619" spans="1:1" ht="14.25" customHeight="1">
      <c r="A619" s="23"/>
    </row>
    <row r="620" spans="1:1" ht="14.25" customHeight="1">
      <c r="A620" s="23"/>
    </row>
    <row r="621" spans="1:1" ht="14.25" customHeight="1">
      <c r="A621" s="23"/>
    </row>
    <row r="622" spans="1:1" ht="14.25" customHeight="1">
      <c r="A622" s="23"/>
    </row>
    <row r="623" spans="1:1" ht="14.25" customHeight="1">
      <c r="A623" s="23"/>
    </row>
    <row r="624" spans="1:1" ht="14.25" customHeight="1">
      <c r="A624" s="23"/>
    </row>
    <row r="625" spans="1:1" ht="14.25" customHeight="1">
      <c r="A625" s="23"/>
    </row>
    <row r="626" spans="1:1" ht="14.25" customHeight="1">
      <c r="A626" s="23"/>
    </row>
    <row r="627" spans="1:1" ht="14.25" customHeight="1">
      <c r="A627" s="23"/>
    </row>
    <row r="628" spans="1:1" ht="14.25" customHeight="1">
      <c r="A628" s="23"/>
    </row>
    <row r="629" spans="1:1" ht="14.25" customHeight="1">
      <c r="A629" s="23"/>
    </row>
    <row r="630" spans="1:1" ht="14.25" customHeight="1">
      <c r="A630" s="23"/>
    </row>
    <row r="631" spans="1:1" ht="14.25" customHeight="1">
      <c r="A631" s="23"/>
    </row>
    <row r="632" spans="1:1" ht="14.25" customHeight="1">
      <c r="A632" s="23"/>
    </row>
    <row r="633" spans="1:1" ht="14.25" customHeight="1">
      <c r="A633" s="23"/>
    </row>
    <row r="634" spans="1:1" ht="14.25" customHeight="1">
      <c r="A634" s="23"/>
    </row>
    <row r="635" spans="1:1" ht="14.25" customHeight="1">
      <c r="A635" s="23"/>
    </row>
    <row r="636" spans="1:1" ht="14.25" customHeight="1">
      <c r="A636" s="23"/>
    </row>
    <row r="637" spans="1:1" ht="14.25" customHeight="1">
      <c r="A637" s="23"/>
    </row>
    <row r="638" spans="1:1" ht="14.25" customHeight="1">
      <c r="A638" s="23"/>
    </row>
    <row r="639" spans="1:1" ht="14.25" customHeight="1">
      <c r="A639" s="23"/>
    </row>
    <row r="640" spans="1:1" ht="14.25" customHeight="1">
      <c r="A640" s="23"/>
    </row>
    <row r="641" spans="1:1" ht="14.25" customHeight="1">
      <c r="A641" s="23"/>
    </row>
    <row r="642" spans="1:1" ht="14.25" customHeight="1">
      <c r="A642" s="23"/>
    </row>
    <row r="643" spans="1:1" ht="14.25" customHeight="1">
      <c r="A643" s="23"/>
    </row>
    <row r="644" spans="1:1" ht="14.25" customHeight="1">
      <c r="A644" s="23"/>
    </row>
    <row r="645" spans="1:1" ht="14.25" customHeight="1">
      <c r="A645" s="23"/>
    </row>
    <row r="646" spans="1:1" ht="14.25" customHeight="1">
      <c r="A646" s="23"/>
    </row>
    <row r="647" spans="1:1" ht="14.25" customHeight="1">
      <c r="A647" s="23"/>
    </row>
    <row r="648" spans="1:1" ht="14.25" customHeight="1">
      <c r="A648" s="23"/>
    </row>
    <row r="649" spans="1:1" ht="14.25" customHeight="1">
      <c r="A649" s="23"/>
    </row>
    <row r="650" spans="1:1" ht="14.25" customHeight="1">
      <c r="A650" s="23"/>
    </row>
    <row r="651" spans="1:1" ht="14.25" customHeight="1">
      <c r="A651" s="23"/>
    </row>
    <row r="652" spans="1:1" ht="14.25" customHeight="1">
      <c r="A652" s="23"/>
    </row>
    <row r="653" spans="1:1" ht="14.25" customHeight="1">
      <c r="A653" s="23"/>
    </row>
    <row r="654" spans="1:1" ht="14.25" customHeight="1">
      <c r="A654" s="23"/>
    </row>
    <row r="655" spans="1:1" ht="14.25" customHeight="1">
      <c r="A655" s="23"/>
    </row>
    <row r="656" spans="1:1" ht="14.25" customHeight="1">
      <c r="A656" s="23"/>
    </row>
    <row r="657" spans="1:1" ht="14.25" customHeight="1">
      <c r="A657" s="23"/>
    </row>
    <row r="658" spans="1:1" ht="14.25" customHeight="1">
      <c r="A658" s="23"/>
    </row>
    <row r="659" spans="1:1" ht="14.25" customHeight="1">
      <c r="A659" s="23"/>
    </row>
    <row r="660" spans="1:1" ht="14.25" customHeight="1">
      <c r="A660" s="23"/>
    </row>
    <row r="661" spans="1:1" ht="14.25" customHeight="1">
      <c r="A661" s="23"/>
    </row>
    <row r="662" spans="1:1" ht="14.25" customHeight="1">
      <c r="A662" s="23"/>
    </row>
    <row r="663" spans="1:1" ht="14.25" customHeight="1">
      <c r="A663" s="23"/>
    </row>
    <row r="664" spans="1:1" ht="14.25" customHeight="1">
      <c r="A664" s="23"/>
    </row>
    <row r="665" spans="1:1" ht="14.25" customHeight="1">
      <c r="A665" s="23"/>
    </row>
    <row r="666" spans="1:1" ht="14.25" customHeight="1">
      <c r="A666" s="23"/>
    </row>
    <row r="667" spans="1:1" ht="14.25" customHeight="1">
      <c r="A667" s="23"/>
    </row>
    <row r="668" spans="1:1" ht="14.25" customHeight="1">
      <c r="A668" s="23"/>
    </row>
    <row r="669" spans="1:1" ht="14.25" customHeight="1">
      <c r="A669" s="23"/>
    </row>
    <row r="670" spans="1:1" ht="14.25" customHeight="1">
      <c r="A670" s="23"/>
    </row>
    <row r="671" spans="1:1" ht="14.25" customHeight="1">
      <c r="A671" s="23"/>
    </row>
    <row r="672" spans="1:1" ht="14.25" customHeight="1">
      <c r="A672" s="23"/>
    </row>
    <row r="673" spans="1:1" ht="14.25" customHeight="1">
      <c r="A673" s="23"/>
    </row>
    <row r="674" spans="1:1" ht="14.25" customHeight="1">
      <c r="A674" s="23"/>
    </row>
    <row r="675" spans="1:1" ht="14.25" customHeight="1">
      <c r="A675" s="23"/>
    </row>
    <row r="676" spans="1:1" ht="14.25" customHeight="1">
      <c r="A676" s="23"/>
    </row>
    <row r="677" spans="1:1" ht="14.25" customHeight="1">
      <c r="A677" s="23"/>
    </row>
    <row r="678" spans="1:1" ht="14.25" customHeight="1">
      <c r="A678" s="23"/>
    </row>
    <row r="679" spans="1:1" ht="14.25" customHeight="1">
      <c r="A679" s="23"/>
    </row>
    <row r="680" spans="1:1" ht="14.25" customHeight="1">
      <c r="A680" s="23"/>
    </row>
    <row r="681" spans="1:1" ht="14.25" customHeight="1">
      <c r="A681" s="23"/>
    </row>
    <row r="682" spans="1:1" ht="14.25" customHeight="1">
      <c r="A682" s="23"/>
    </row>
    <row r="683" spans="1:1" ht="14.25" customHeight="1">
      <c r="A683" s="23"/>
    </row>
    <row r="684" spans="1:1" ht="14.25" customHeight="1">
      <c r="A684" s="23"/>
    </row>
    <row r="685" spans="1:1" ht="14.25" customHeight="1">
      <c r="A685" s="23"/>
    </row>
    <row r="686" spans="1:1" ht="14.25" customHeight="1">
      <c r="A686" s="23"/>
    </row>
    <row r="687" spans="1:1" ht="14.25" customHeight="1">
      <c r="A687" s="23"/>
    </row>
    <row r="688" spans="1:1" ht="14.25" customHeight="1">
      <c r="A688" s="23"/>
    </row>
    <row r="689" spans="1:1" ht="14.25" customHeight="1">
      <c r="A689" s="23"/>
    </row>
    <row r="690" spans="1:1" ht="14.25" customHeight="1">
      <c r="A690" s="23"/>
    </row>
    <row r="691" spans="1:1" ht="14.25" customHeight="1">
      <c r="A691" s="23"/>
    </row>
    <row r="692" spans="1:1" ht="14.25" customHeight="1">
      <c r="A692" s="23"/>
    </row>
    <row r="693" spans="1:1" ht="14.25" customHeight="1">
      <c r="A693" s="23"/>
    </row>
    <row r="694" spans="1:1" ht="14.25" customHeight="1">
      <c r="A694" s="23"/>
    </row>
    <row r="695" spans="1:1" ht="14.25" customHeight="1">
      <c r="A695" s="23"/>
    </row>
    <row r="696" spans="1:1" ht="14.25" customHeight="1">
      <c r="A696" s="23"/>
    </row>
    <row r="697" spans="1:1" ht="14.25" customHeight="1">
      <c r="A697" s="23"/>
    </row>
    <row r="698" spans="1:1" ht="14.25" customHeight="1">
      <c r="A698" s="23"/>
    </row>
    <row r="699" spans="1:1" ht="14.25" customHeight="1">
      <c r="A699" s="23"/>
    </row>
    <row r="700" spans="1:1" ht="14.25" customHeight="1">
      <c r="A700" s="23"/>
    </row>
    <row r="701" spans="1:1" ht="14.25" customHeight="1">
      <c r="A701" s="23"/>
    </row>
    <row r="702" spans="1:1" ht="14.25" customHeight="1">
      <c r="A702" s="23"/>
    </row>
    <row r="703" spans="1:1" ht="14.25" customHeight="1">
      <c r="A703" s="23"/>
    </row>
    <row r="704" spans="1:1" ht="14.25" customHeight="1">
      <c r="A704" s="23"/>
    </row>
    <row r="705" spans="1:1" ht="14.25" customHeight="1">
      <c r="A705" s="23"/>
    </row>
    <row r="706" spans="1:1" ht="14.25" customHeight="1">
      <c r="A706" s="23"/>
    </row>
    <row r="707" spans="1:1" ht="14.25" customHeight="1">
      <c r="A707" s="23"/>
    </row>
    <row r="708" spans="1:1" ht="14.25" customHeight="1">
      <c r="A708" s="23"/>
    </row>
    <row r="709" spans="1:1" ht="14.25" customHeight="1">
      <c r="A709" s="23"/>
    </row>
    <row r="710" spans="1:1" ht="14.25" customHeight="1">
      <c r="A710" s="23"/>
    </row>
    <row r="711" spans="1:1" ht="14.25" customHeight="1">
      <c r="A711" s="23"/>
    </row>
    <row r="712" spans="1:1" ht="14.25" customHeight="1">
      <c r="A712" s="23"/>
    </row>
    <row r="713" spans="1:1" ht="14.25" customHeight="1">
      <c r="A713" s="23"/>
    </row>
    <row r="714" spans="1:1" ht="14.25" customHeight="1">
      <c r="A714" s="23"/>
    </row>
    <row r="715" spans="1:1" ht="14.25" customHeight="1">
      <c r="A715" s="23"/>
    </row>
    <row r="716" spans="1:1" ht="14.25" customHeight="1">
      <c r="A716" s="23"/>
    </row>
    <row r="717" spans="1:1" ht="14.25" customHeight="1">
      <c r="A717" s="23"/>
    </row>
    <row r="718" spans="1:1" ht="14.25" customHeight="1">
      <c r="A718" s="23"/>
    </row>
    <row r="719" spans="1:1" ht="14.25" customHeight="1">
      <c r="A719" s="23"/>
    </row>
    <row r="720" spans="1:1" ht="14.25" customHeight="1">
      <c r="A720" s="23"/>
    </row>
    <row r="721" spans="1:1" ht="14.25" customHeight="1">
      <c r="A721" s="23"/>
    </row>
    <row r="722" spans="1:1" ht="14.25" customHeight="1">
      <c r="A722" s="23"/>
    </row>
    <row r="723" spans="1:1" ht="14.25" customHeight="1">
      <c r="A723" s="23"/>
    </row>
    <row r="724" spans="1:1" ht="14.25" customHeight="1">
      <c r="A724" s="23"/>
    </row>
    <row r="725" spans="1:1" ht="14.25" customHeight="1">
      <c r="A725" s="23"/>
    </row>
    <row r="726" spans="1:1" ht="14.25" customHeight="1">
      <c r="A726" s="23"/>
    </row>
    <row r="727" spans="1:1" ht="14.25" customHeight="1">
      <c r="A727" s="23"/>
    </row>
    <row r="728" spans="1:1" ht="14.25" customHeight="1">
      <c r="A728" s="23"/>
    </row>
    <row r="729" spans="1:1" ht="14.25" customHeight="1">
      <c r="A729" s="23"/>
    </row>
    <row r="730" spans="1:1" ht="14.25" customHeight="1">
      <c r="A730" s="23"/>
    </row>
    <row r="731" spans="1:1" ht="14.25" customHeight="1">
      <c r="A731" s="23"/>
    </row>
    <row r="732" spans="1:1" ht="14.25" customHeight="1">
      <c r="A732" s="23"/>
    </row>
    <row r="733" spans="1:1" ht="14.25" customHeight="1">
      <c r="A733" s="23"/>
    </row>
    <row r="734" spans="1:1" ht="14.25" customHeight="1">
      <c r="A734" s="23"/>
    </row>
    <row r="735" spans="1:1" ht="14.25" customHeight="1">
      <c r="A735" s="23"/>
    </row>
    <row r="736" spans="1:1" ht="14.25" customHeight="1">
      <c r="A736" s="23"/>
    </row>
    <row r="737" spans="1:1" ht="14.25" customHeight="1">
      <c r="A737" s="23"/>
    </row>
    <row r="738" spans="1:1" ht="14.25" customHeight="1">
      <c r="A738" s="23"/>
    </row>
    <row r="739" spans="1:1" ht="14.25" customHeight="1">
      <c r="A739" s="23"/>
    </row>
    <row r="740" spans="1:1" ht="14.25" customHeight="1">
      <c r="A740" s="23"/>
    </row>
    <row r="741" spans="1:1" ht="14.25" customHeight="1">
      <c r="A741" s="23"/>
    </row>
    <row r="742" spans="1:1" ht="14.25" customHeight="1">
      <c r="A742" s="23"/>
    </row>
    <row r="743" spans="1:1" ht="14.25" customHeight="1">
      <c r="A743" s="23"/>
    </row>
    <row r="744" spans="1:1" ht="14.25" customHeight="1">
      <c r="A744" s="23"/>
    </row>
    <row r="745" spans="1:1" ht="14.25" customHeight="1">
      <c r="A745" s="23"/>
    </row>
    <row r="746" spans="1:1" ht="14.25" customHeight="1">
      <c r="A746" s="23"/>
    </row>
    <row r="747" spans="1:1" ht="14.25" customHeight="1">
      <c r="A747" s="23"/>
    </row>
    <row r="748" spans="1:1" ht="14.25" customHeight="1">
      <c r="A748" s="23"/>
    </row>
    <row r="749" spans="1:1" ht="14.25" customHeight="1">
      <c r="A749" s="23"/>
    </row>
    <row r="750" spans="1:1" ht="14.25" customHeight="1">
      <c r="A750" s="23"/>
    </row>
    <row r="751" spans="1:1" ht="14.25" customHeight="1">
      <c r="A751" s="23"/>
    </row>
    <row r="752" spans="1:1" ht="14.25" customHeight="1">
      <c r="A752" s="23"/>
    </row>
    <row r="753" spans="1:1" ht="14.25" customHeight="1">
      <c r="A753" s="23"/>
    </row>
    <row r="754" spans="1:1" ht="14.25" customHeight="1">
      <c r="A754" s="23"/>
    </row>
    <row r="755" spans="1:1" ht="14.25" customHeight="1">
      <c r="A755" s="23"/>
    </row>
    <row r="756" spans="1:1" ht="14.25" customHeight="1">
      <c r="A756" s="23"/>
    </row>
    <row r="757" spans="1:1" ht="14.25" customHeight="1">
      <c r="A757" s="23"/>
    </row>
    <row r="758" spans="1:1" ht="14.25" customHeight="1">
      <c r="A758" s="23"/>
    </row>
    <row r="759" spans="1:1" ht="14.25" customHeight="1">
      <c r="A759" s="23"/>
    </row>
    <row r="760" spans="1:1" ht="14.25" customHeight="1">
      <c r="A760" s="23"/>
    </row>
    <row r="761" spans="1:1" ht="14.25" customHeight="1">
      <c r="A761" s="23"/>
    </row>
    <row r="762" spans="1:1" ht="14.25" customHeight="1">
      <c r="A762" s="23"/>
    </row>
    <row r="763" spans="1:1" ht="14.25" customHeight="1">
      <c r="A763" s="23"/>
    </row>
    <row r="764" spans="1:1" ht="14.25" customHeight="1">
      <c r="A764" s="23"/>
    </row>
    <row r="765" spans="1:1" ht="14.25" customHeight="1">
      <c r="A765" s="23"/>
    </row>
    <row r="766" spans="1:1" ht="14.25" customHeight="1">
      <c r="A766" s="23"/>
    </row>
    <row r="767" spans="1:1" ht="14.25" customHeight="1">
      <c r="A767" s="23"/>
    </row>
    <row r="768" spans="1:1" ht="14.25" customHeight="1">
      <c r="A768" s="23"/>
    </row>
    <row r="769" spans="1:1" ht="14.25" customHeight="1">
      <c r="A769" s="23"/>
    </row>
    <row r="770" spans="1:1" ht="14.25" customHeight="1">
      <c r="A770" s="23"/>
    </row>
    <row r="771" spans="1:1" ht="14.25" customHeight="1">
      <c r="A771" s="23"/>
    </row>
    <row r="772" spans="1:1" ht="14.25" customHeight="1">
      <c r="A772" s="23"/>
    </row>
    <row r="773" spans="1:1" ht="14.25" customHeight="1">
      <c r="A773" s="23"/>
    </row>
    <row r="774" spans="1:1" ht="14.25" customHeight="1">
      <c r="A774" s="23"/>
    </row>
    <row r="775" spans="1:1" ht="14.25" customHeight="1">
      <c r="A775" s="23"/>
    </row>
    <row r="776" spans="1:1" ht="14.25" customHeight="1">
      <c r="A776" s="23"/>
    </row>
    <row r="777" spans="1:1" ht="14.25" customHeight="1">
      <c r="A777" s="23"/>
    </row>
    <row r="778" spans="1:1" ht="14.25" customHeight="1">
      <c r="A778" s="23"/>
    </row>
    <row r="779" spans="1:1" ht="14.25" customHeight="1">
      <c r="A779" s="23"/>
    </row>
    <row r="780" spans="1:1" ht="14.25" customHeight="1">
      <c r="A780" s="23"/>
    </row>
    <row r="781" spans="1:1" ht="14.25" customHeight="1">
      <c r="A781" s="23"/>
    </row>
    <row r="782" spans="1:1" ht="14.25" customHeight="1">
      <c r="A782" s="23"/>
    </row>
    <row r="783" spans="1:1" ht="14.25" customHeight="1">
      <c r="A783" s="23"/>
    </row>
    <row r="784" spans="1:1" ht="14.25" customHeight="1">
      <c r="A784" s="23"/>
    </row>
    <row r="785" spans="1:1" ht="14.25" customHeight="1">
      <c r="A785" s="23"/>
    </row>
    <row r="786" spans="1:1" ht="14.25" customHeight="1">
      <c r="A786" s="23"/>
    </row>
    <row r="787" spans="1:1" ht="14.25" customHeight="1">
      <c r="A787" s="23"/>
    </row>
    <row r="788" spans="1:1" ht="14.25" customHeight="1">
      <c r="A788" s="23"/>
    </row>
    <row r="789" spans="1:1" ht="14.25" customHeight="1">
      <c r="A789" s="23"/>
    </row>
    <row r="790" spans="1:1" ht="14.25" customHeight="1">
      <c r="A790" s="23"/>
    </row>
    <row r="791" spans="1:1" ht="14.25" customHeight="1">
      <c r="A791" s="23"/>
    </row>
    <row r="792" spans="1:1" ht="14.25" customHeight="1">
      <c r="A792" s="23"/>
    </row>
    <row r="793" spans="1:1" ht="14.25" customHeight="1">
      <c r="A793" s="23"/>
    </row>
    <row r="794" spans="1:1" ht="14.25" customHeight="1">
      <c r="A794" s="23"/>
    </row>
    <row r="795" spans="1:1" ht="14.25" customHeight="1">
      <c r="A795" s="23"/>
    </row>
    <row r="796" spans="1:1" ht="14.25" customHeight="1">
      <c r="A796" s="23"/>
    </row>
    <row r="797" spans="1:1" ht="14.25" customHeight="1">
      <c r="A797" s="23"/>
    </row>
    <row r="798" spans="1:1" ht="14.25" customHeight="1">
      <c r="A798" s="23"/>
    </row>
    <row r="799" spans="1:1" ht="14.25" customHeight="1">
      <c r="A799" s="23"/>
    </row>
    <row r="800" spans="1:1" ht="14.25" customHeight="1">
      <c r="A800" s="23"/>
    </row>
    <row r="801" spans="1:1" ht="14.25" customHeight="1">
      <c r="A801" s="23"/>
    </row>
    <row r="802" spans="1:1" ht="14.25" customHeight="1">
      <c r="A802" s="23"/>
    </row>
    <row r="803" spans="1:1" ht="14.25" customHeight="1">
      <c r="A803" s="23"/>
    </row>
    <row r="804" spans="1:1" ht="14.25" customHeight="1">
      <c r="A804" s="23"/>
    </row>
    <row r="805" spans="1:1" ht="14.25" customHeight="1">
      <c r="A805" s="23"/>
    </row>
    <row r="806" spans="1:1" ht="14.25" customHeight="1">
      <c r="A806" s="23"/>
    </row>
    <row r="807" spans="1:1" ht="14.25" customHeight="1">
      <c r="A807" s="23"/>
    </row>
    <row r="808" spans="1:1" ht="14.25" customHeight="1">
      <c r="A808" s="23"/>
    </row>
    <row r="809" spans="1:1" ht="14.25" customHeight="1">
      <c r="A809" s="23"/>
    </row>
    <row r="810" spans="1:1" ht="14.25" customHeight="1">
      <c r="A810" s="23"/>
    </row>
    <row r="811" spans="1:1" ht="14.25" customHeight="1">
      <c r="A811" s="23"/>
    </row>
    <row r="812" spans="1:1" ht="14.25" customHeight="1">
      <c r="A812" s="23"/>
    </row>
    <row r="813" spans="1:1" ht="14.25" customHeight="1">
      <c r="A813" s="23"/>
    </row>
    <row r="814" spans="1:1" ht="14.25" customHeight="1">
      <c r="A814" s="23"/>
    </row>
    <row r="815" spans="1:1" ht="14.25" customHeight="1">
      <c r="A815" s="23"/>
    </row>
    <row r="816" spans="1:1" ht="14.25" customHeight="1">
      <c r="A816" s="23"/>
    </row>
    <row r="817" spans="1:1" ht="14.25" customHeight="1">
      <c r="A817" s="23"/>
    </row>
    <row r="818" spans="1:1" ht="14.25" customHeight="1">
      <c r="A818" s="23"/>
    </row>
    <row r="819" spans="1:1" ht="14.25" customHeight="1">
      <c r="A819" s="23"/>
    </row>
    <row r="820" spans="1:1" ht="14.25" customHeight="1">
      <c r="A820" s="23"/>
    </row>
    <row r="821" spans="1:1" ht="14.25" customHeight="1">
      <c r="A821" s="23"/>
    </row>
    <row r="822" spans="1:1" ht="14.25" customHeight="1">
      <c r="A822" s="23"/>
    </row>
    <row r="823" spans="1:1" ht="14.25" customHeight="1">
      <c r="A823" s="23"/>
    </row>
    <row r="824" spans="1:1" ht="14.25" customHeight="1">
      <c r="A824" s="23"/>
    </row>
    <row r="825" spans="1:1" ht="14.25" customHeight="1">
      <c r="A825" s="23"/>
    </row>
    <row r="826" spans="1:1" ht="14.25" customHeight="1">
      <c r="A826" s="23"/>
    </row>
    <row r="827" spans="1:1" ht="14.25" customHeight="1">
      <c r="A827" s="23"/>
    </row>
    <row r="828" spans="1:1" ht="14.25" customHeight="1">
      <c r="A828" s="23"/>
    </row>
    <row r="829" spans="1:1" ht="14.25" customHeight="1">
      <c r="A829" s="23"/>
    </row>
    <row r="830" spans="1:1" ht="14.25" customHeight="1">
      <c r="A830" s="23"/>
    </row>
    <row r="831" spans="1:1" ht="14.25" customHeight="1">
      <c r="A831" s="23"/>
    </row>
    <row r="832" spans="1:1" ht="14.25" customHeight="1">
      <c r="A832" s="23"/>
    </row>
    <row r="833" spans="1:1" ht="14.25" customHeight="1">
      <c r="A833" s="23"/>
    </row>
    <row r="834" spans="1:1" ht="14.25" customHeight="1">
      <c r="A834" s="23"/>
    </row>
    <row r="835" spans="1:1" ht="14.25" customHeight="1">
      <c r="A835" s="23"/>
    </row>
    <row r="836" spans="1:1" ht="14.25" customHeight="1">
      <c r="A836" s="23"/>
    </row>
    <row r="837" spans="1:1" ht="14.25" customHeight="1">
      <c r="A837" s="23"/>
    </row>
    <row r="838" spans="1:1" ht="14.25" customHeight="1">
      <c r="A838" s="23"/>
    </row>
    <row r="839" spans="1:1" ht="14.25" customHeight="1">
      <c r="A839" s="23"/>
    </row>
    <row r="840" spans="1:1" ht="14.25" customHeight="1">
      <c r="A840" s="23"/>
    </row>
    <row r="841" spans="1:1" ht="14.25" customHeight="1">
      <c r="A841" s="23"/>
    </row>
    <row r="842" spans="1:1" ht="14.25" customHeight="1">
      <c r="A842" s="23"/>
    </row>
    <row r="843" spans="1:1" ht="14.25" customHeight="1">
      <c r="A843" s="23"/>
    </row>
    <row r="844" spans="1:1" ht="14.25" customHeight="1">
      <c r="A844" s="23"/>
    </row>
    <row r="845" spans="1:1" ht="14.25" customHeight="1">
      <c r="A845" s="23"/>
    </row>
    <row r="846" spans="1:1" ht="14.25" customHeight="1">
      <c r="A846" s="23"/>
    </row>
    <row r="847" spans="1:1" ht="14.25" customHeight="1">
      <c r="A847" s="23"/>
    </row>
    <row r="848" spans="1:1" ht="14.25" customHeight="1">
      <c r="A848" s="23"/>
    </row>
    <row r="849" spans="1:1" ht="14.25" customHeight="1">
      <c r="A849" s="23"/>
    </row>
    <row r="850" spans="1:1" ht="14.25" customHeight="1">
      <c r="A850" s="23"/>
    </row>
    <row r="851" spans="1:1" ht="14.25" customHeight="1">
      <c r="A851" s="23"/>
    </row>
    <row r="852" spans="1:1" ht="14.25" customHeight="1">
      <c r="A852" s="23"/>
    </row>
    <row r="853" spans="1:1" ht="14.25" customHeight="1">
      <c r="A853" s="23"/>
    </row>
    <row r="854" spans="1:1" ht="14.25" customHeight="1">
      <c r="A854" s="23"/>
    </row>
    <row r="855" spans="1:1" ht="14.25" customHeight="1">
      <c r="A855" s="23"/>
    </row>
    <row r="856" spans="1:1" ht="14.25" customHeight="1">
      <c r="A856" s="23"/>
    </row>
    <row r="857" spans="1:1" ht="14.25" customHeight="1">
      <c r="A857" s="23"/>
    </row>
    <row r="858" spans="1:1" ht="14.25" customHeight="1">
      <c r="A858" s="23"/>
    </row>
    <row r="859" spans="1:1" ht="14.25" customHeight="1">
      <c r="A859" s="23"/>
    </row>
    <row r="860" spans="1:1" ht="14.25" customHeight="1">
      <c r="A860" s="23"/>
    </row>
    <row r="861" spans="1:1" ht="14.25" customHeight="1">
      <c r="A861" s="23"/>
    </row>
    <row r="862" spans="1:1" ht="14.25" customHeight="1">
      <c r="A862" s="23"/>
    </row>
    <row r="863" spans="1:1" ht="14.25" customHeight="1">
      <c r="A863" s="23"/>
    </row>
    <row r="864" spans="1:1" ht="14.25" customHeight="1">
      <c r="A864" s="23"/>
    </row>
    <row r="865" spans="1:1" ht="14.25" customHeight="1">
      <c r="A865" s="23"/>
    </row>
    <row r="866" spans="1:1" ht="14.25" customHeight="1">
      <c r="A866" s="23"/>
    </row>
    <row r="867" spans="1:1" ht="14.25" customHeight="1">
      <c r="A867" s="23"/>
    </row>
    <row r="868" spans="1:1" ht="14.25" customHeight="1">
      <c r="A868" s="23"/>
    </row>
    <row r="869" spans="1:1" ht="14.25" customHeight="1">
      <c r="A869" s="23"/>
    </row>
    <row r="870" spans="1:1" ht="14.25" customHeight="1">
      <c r="A870" s="23"/>
    </row>
    <row r="871" spans="1:1" ht="14.25" customHeight="1">
      <c r="A871" s="23"/>
    </row>
    <row r="872" spans="1:1" ht="14.25" customHeight="1">
      <c r="A872" s="23"/>
    </row>
    <row r="873" spans="1:1" ht="14.25" customHeight="1">
      <c r="A873" s="23"/>
    </row>
    <row r="874" spans="1:1" ht="14.25" customHeight="1">
      <c r="A874" s="23"/>
    </row>
    <row r="875" spans="1:1" ht="14.25" customHeight="1">
      <c r="A875" s="23"/>
    </row>
    <row r="876" spans="1:1" ht="14.25" customHeight="1">
      <c r="A876" s="23"/>
    </row>
    <row r="877" spans="1:1" ht="14.25" customHeight="1">
      <c r="A877" s="23"/>
    </row>
    <row r="878" spans="1:1" ht="14.25" customHeight="1">
      <c r="A878" s="23"/>
    </row>
    <row r="879" spans="1:1" ht="14.25" customHeight="1">
      <c r="A879" s="23"/>
    </row>
    <row r="880" spans="1:1" ht="14.25" customHeight="1">
      <c r="A880" s="23"/>
    </row>
    <row r="881" spans="1:1" ht="14.25" customHeight="1">
      <c r="A881" s="23"/>
    </row>
    <row r="882" spans="1:1" ht="14.25" customHeight="1">
      <c r="A882" s="23"/>
    </row>
    <row r="883" spans="1:1" ht="14.25" customHeight="1">
      <c r="A883" s="23"/>
    </row>
    <row r="884" spans="1:1" ht="14.25" customHeight="1">
      <c r="A884" s="23"/>
    </row>
    <row r="885" spans="1:1" ht="14.25" customHeight="1">
      <c r="A885" s="23"/>
    </row>
    <row r="886" spans="1:1" ht="14.25" customHeight="1">
      <c r="A886" s="23"/>
    </row>
    <row r="887" spans="1:1" ht="14.25" customHeight="1">
      <c r="A887" s="23"/>
    </row>
    <row r="888" spans="1:1" ht="14.25" customHeight="1">
      <c r="A888" s="23"/>
    </row>
    <row r="889" spans="1:1" ht="14.25" customHeight="1">
      <c r="A889" s="23"/>
    </row>
    <row r="890" spans="1:1" ht="14.25" customHeight="1">
      <c r="A890" s="23"/>
    </row>
    <row r="891" spans="1:1" ht="14.25" customHeight="1">
      <c r="A891" s="23"/>
    </row>
    <row r="892" spans="1:1" ht="14.25" customHeight="1">
      <c r="A892" s="23"/>
    </row>
    <row r="893" spans="1:1" ht="14.25" customHeight="1">
      <c r="A893" s="23"/>
    </row>
    <row r="894" spans="1:1" ht="14.25" customHeight="1">
      <c r="A894" s="23"/>
    </row>
    <row r="895" spans="1:1" ht="14.25" customHeight="1">
      <c r="A895" s="23"/>
    </row>
    <row r="896" spans="1:1" ht="14.25" customHeight="1">
      <c r="A896" s="23"/>
    </row>
    <row r="897" spans="1:1" ht="14.25" customHeight="1">
      <c r="A897" s="23"/>
    </row>
    <row r="898" spans="1:1" ht="14.25" customHeight="1">
      <c r="A898" s="23"/>
    </row>
    <row r="899" spans="1:1" ht="14.25" customHeight="1">
      <c r="A899" s="23"/>
    </row>
    <row r="900" spans="1:1" ht="14.25" customHeight="1">
      <c r="A900" s="23"/>
    </row>
    <row r="901" spans="1:1" ht="14.25" customHeight="1">
      <c r="A901" s="23"/>
    </row>
    <row r="902" spans="1:1" ht="14.25" customHeight="1">
      <c r="A902" s="23"/>
    </row>
    <row r="903" spans="1:1" ht="14.25" customHeight="1">
      <c r="A903" s="23"/>
    </row>
    <row r="904" spans="1:1" ht="14.25" customHeight="1">
      <c r="A904" s="23"/>
    </row>
    <row r="905" spans="1:1" ht="14.25" customHeight="1">
      <c r="A905" s="23"/>
    </row>
    <row r="906" spans="1:1" ht="14.25" customHeight="1">
      <c r="A906" s="23"/>
    </row>
    <row r="907" spans="1:1" ht="14.25" customHeight="1">
      <c r="A907" s="23"/>
    </row>
    <row r="908" spans="1:1" ht="14.25" customHeight="1">
      <c r="A908" s="23"/>
    </row>
    <row r="909" spans="1:1" ht="14.25" customHeight="1">
      <c r="A909" s="23"/>
    </row>
    <row r="910" spans="1:1" ht="14.25" customHeight="1">
      <c r="A910" s="23"/>
    </row>
    <row r="911" spans="1:1" ht="14.25" customHeight="1">
      <c r="A911" s="23"/>
    </row>
    <row r="912" spans="1:1" ht="14.25" customHeight="1">
      <c r="A912" s="23"/>
    </row>
    <row r="913" spans="1:1" ht="14.25" customHeight="1">
      <c r="A913" s="23"/>
    </row>
    <row r="914" spans="1:1" ht="14.25" customHeight="1">
      <c r="A914" s="23"/>
    </row>
    <row r="915" spans="1:1" ht="14.25" customHeight="1">
      <c r="A915" s="23"/>
    </row>
    <row r="916" spans="1:1" ht="14.25" customHeight="1">
      <c r="A916" s="23"/>
    </row>
    <row r="917" spans="1:1" ht="14.25" customHeight="1">
      <c r="A917" s="23"/>
    </row>
    <row r="918" spans="1:1" ht="14.25" customHeight="1">
      <c r="A918" s="23"/>
    </row>
    <row r="919" spans="1:1" ht="14.25" customHeight="1">
      <c r="A919" s="23"/>
    </row>
    <row r="920" spans="1:1" ht="14.25" customHeight="1">
      <c r="A920" s="23"/>
    </row>
    <row r="921" spans="1:1" ht="14.25" customHeight="1">
      <c r="A921" s="23"/>
    </row>
    <row r="922" spans="1:1" ht="14.25" customHeight="1">
      <c r="A922" s="23"/>
    </row>
    <row r="923" spans="1:1" ht="14.25" customHeight="1">
      <c r="A923" s="23"/>
    </row>
    <row r="924" spans="1:1" ht="14.25" customHeight="1">
      <c r="A924" s="23"/>
    </row>
    <row r="925" spans="1:1" ht="14.25" customHeight="1">
      <c r="A925" s="23"/>
    </row>
    <row r="926" spans="1:1" ht="14.25" customHeight="1">
      <c r="A926" s="23"/>
    </row>
    <row r="927" spans="1:1" ht="14.25" customHeight="1">
      <c r="A927" s="23"/>
    </row>
    <row r="928" spans="1:1" ht="14.25" customHeight="1">
      <c r="A928" s="23"/>
    </row>
    <row r="929" spans="1:1" ht="14.25" customHeight="1">
      <c r="A929" s="23"/>
    </row>
    <row r="930" spans="1:1" ht="14.25" customHeight="1">
      <c r="A930" s="23"/>
    </row>
    <row r="931" spans="1:1" ht="14.25" customHeight="1">
      <c r="A931" s="23"/>
    </row>
    <row r="932" spans="1:1" ht="14.25" customHeight="1">
      <c r="A932" s="23"/>
    </row>
    <row r="933" spans="1:1" ht="14.25" customHeight="1">
      <c r="A933" s="23"/>
    </row>
    <row r="934" spans="1:1" ht="14.25" customHeight="1">
      <c r="A934" s="23"/>
    </row>
    <row r="935" spans="1:1" ht="14.25" customHeight="1">
      <c r="A935" s="23"/>
    </row>
    <row r="936" spans="1:1" ht="14.25" customHeight="1">
      <c r="A936" s="23"/>
    </row>
    <row r="937" spans="1:1" ht="14.25" customHeight="1">
      <c r="A937" s="23"/>
    </row>
    <row r="938" spans="1:1" ht="14.25" customHeight="1">
      <c r="A938" s="23"/>
    </row>
    <row r="939" spans="1:1" ht="14.25" customHeight="1">
      <c r="A939" s="23"/>
    </row>
    <row r="940" spans="1:1" ht="14.25" customHeight="1">
      <c r="A940" s="23"/>
    </row>
    <row r="941" spans="1:1" ht="14.25" customHeight="1">
      <c r="A941" s="23"/>
    </row>
    <row r="942" spans="1:1" ht="14.25" customHeight="1">
      <c r="A942" s="23"/>
    </row>
    <row r="943" spans="1:1" ht="14.25" customHeight="1">
      <c r="A943" s="23"/>
    </row>
    <row r="944" spans="1:1" ht="14.25" customHeight="1">
      <c r="A944" s="23"/>
    </row>
    <row r="945" spans="1:1" ht="14.25" customHeight="1">
      <c r="A945" s="23"/>
    </row>
    <row r="946" spans="1:1" ht="14.25" customHeight="1">
      <c r="A946" s="23"/>
    </row>
    <row r="947" spans="1:1" ht="14.25" customHeight="1">
      <c r="A947" s="23"/>
    </row>
    <row r="948" spans="1:1" ht="14.25" customHeight="1">
      <c r="A948" s="23"/>
    </row>
    <row r="949" spans="1:1" ht="14.25" customHeight="1">
      <c r="A949" s="23"/>
    </row>
    <row r="950" spans="1:1" ht="14.25" customHeight="1">
      <c r="A950" s="23"/>
    </row>
    <row r="951" spans="1:1" ht="14.25" customHeight="1">
      <c r="A951" s="23"/>
    </row>
    <row r="952" spans="1:1" ht="14.25" customHeight="1">
      <c r="A952" s="23"/>
    </row>
    <row r="953" spans="1:1" ht="14.25" customHeight="1">
      <c r="A953" s="23"/>
    </row>
    <row r="954" spans="1:1" ht="14.25" customHeight="1">
      <c r="A954" s="23"/>
    </row>
    <row r="955" spans="1:1" ht="14.25" customHeight="1">
      <c r="A955" s="23"/>
    </row>
    <row r="956" spans="1:1" ht="14.25" customHeight="1">
      <c r="A956" s="23"/>
    </row>
    <row r="957" spans="1:1" ht="14.25" customHeight="1">
      <c r="A957" s="23"/>
    </row>
    <row r="958" spans="1:1" ht="14.25" customHeight="1">
      <c r="A958" s="23"/>
    </row>
    <row r="959" spans="1:1" ht="14.25" customHeight="1">
      <c r="A959" s="23"/>
    </row>
    <row r="960" spans="1:1" ht="14.25" customHeight="1">
      <c r="A960" s="23"/>
    </row>
    <row r="961" spans="1:1" ht="14.25" customHeight="1">
      <c r="A961" s="23"/>
    </row>
    <row r="962" spans="1:1" ht="14.25" customHeight="1">
      <c r="A962" s="23"/>
    </row>
    <row r="963" spans="1:1" ht="14.25" customHeight="1">
      <c r="A963" s="23"/>
    </row>
    <row r="964" spans="1:1" ht="14.25" customHeight="1">
      <c r="A964" s="23"/>
    </row>
    <row r="965" spans="1:1" ht="14.25" customHeight="1">
      <c r="A965" s="23"/>
    </row>
    <row r="966" spans="1:1" ht="14.25" customHeight="1">
      <c r="A966" s="23"/>
    </row>
    <row r="967" spans="1:1" ht="14.25" customHeight="1">
      <c r="A967" s="23"/>
    </row>
    <row r="968" spans="1:1" ht="14.25" customHeight="1">
      <c r="A968" s="23"/>
    </row>
    <row r="969" spans="1:1" ht="14.25" customHeight="1">
      <c r="A969" s="23"/>
    </row>
    <row r="970" spans="1:1" ht="14.25" customHeight="1">
      <c r="A970" s="23"/>
    </row>
    <row r="971" spans="1:1" ht="14.25" customHeight="1">
      <c r="A971" s="23"/>
    </row>
    <row r="972" spans="1:1" ht="14.25" customHeight="1">
      <c r="A972" s="23"/>
    </row>
    <row r="973" spans="1:1" ht="14.25" customHeight="1">
      <c r="A973" s="23"/>
    </row>
    <row r="974" spans="1:1" ht="14.25" customHeight="1">
      <c r="A974" s="23"/>
    </row>
    <row r="975" spans="1:1" ht="14.25" customHeight="1">
      <c r="A975" s="23"/>
    </row>
    <row r="976" spans="1:1" ht="14.25" customHeight="1">
      <c r="A976" s="23"/>
    </row>
    <row r="977" spans="1:1" ht="14.25" customHeight="1">
      <c r="A977" s="23"/>
    </row>
    <row r="978" spans="1:1" ht="14.25" customHeight="1">
      <c r="A978" s="23"/>
    </row>
    <row r="979" spans="1:1" ht="14.25" customHeight="1">
      <c r="A979" s="23"/>
    </row>
    <row r="980" spans="1:1" ht="14.25" customHeight="1">
      <c r="A980" s="23"/>
    </row>
    <row r="981" spans="1:1" ht="14.25" customHeight="1">
      <c r="A981" s="23"/>
    </row>
    <row r="982" spans="1:1" ht="14.25" customHeight="1">
      <c r="A982" s="23"/>
    </row>
    <row r="983" spans="1:1" ht="14.25" customHeight="1">
      <c r="A983" s="23"/>
    </row>
    <row r="984" spans="1:1" ht="14.25" customHeight="1">
      <c r="A984" s="23"/>
    </row>
    <row r="985" spans="1:1" ht="14.25" customHeight="1">
      <c r="A985" s="23"/>
    </row>
    <row r="986" spans="1:1" ht="14.25" customHeight="1">
      <c r="A986" s="23"/>
    </row>
    <row r="987" spans="1:1" ht="14.25" customHeight="1">
      <c r="A987" s="23"/>
    </row>
    <row r="988" spans="1:1" ht="14.25" customHeight="1">
      <c r="A988" s="23"/>
    </row>
    <row r="989" spans="1:1" ht="14.25" customHeight="1">
      <c r="A989" s="23"/>
    </row>
    <row r="990" spans="1:1" ht="14.25" customHeight="1">
      <c r="A990" s="23"/>
    </row>
    <row r="991" spans="1:1" ht="14.25" customHeight="1">
      <c r="A991" s="23"/>
    </row>
    <row r="992" spans="1:1" ht="14.25" customHeight="1">
      <c r="A992" s="23"/>
    </row>
    <row r="993" spans="1:1" ht="14.25" customHeight="1">
      <c r="A993" s="23"/>
    </row>
    <row r="994" spans="1:1" ht="14.25" customHeight="1">
      <c r="A994" s="23"/>
    </row>
    <row r="995" spans="1:1" ht="14.25" customHeight="1">
      <c r="A995" s="23"/>
    </row>
    <row r="996" spans="1:1" ht="14.25" customHeight="1">
      <c r="A996" s="23"/>
    </row>
    <row r="997" spans="1:1" ht="14.25" customHeight="1">
      <c r="A997" s="23"/>
    </row>
    <row r="998" spans="1:1" ht="14.25" customHeight="1">
      <c r="A998" s="23"/>
    </row>
    <row r="999" spans="1:1" ht="14.25" customHeight="1">
      <c r="A999" s="23"/>
    </row>
    <row r="1000" spans="1:1" ht="14.25" customHeight="1">
      <c r="A1000" s="23"/>
    </row>
  </sheetData>
  <hyperlinks>
    <hyperlink ref="A35" r:id="rId1" location="gid=353029270" xr:uid="{00000000-0004-0000-0200-000000000000}"/>
  </hyperlinks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6640625" defaultRowHeight="15.75" customHeight="1"/>
  <cols>
    <col min="1" max="5" width="13.44140625" customWidth="1"/>
    <col min="6" max="22" width="7.77734375" customWidth="1"/>
  </cols>
  <sheetData>
    <row r="1" spans="1:5" ht="14.25" customHeight="1">
      <c r="A1" s="58" t="s">
        <v>37</v>
      </c>
    </row>
    <row r="2" spans="1:5" ht="14.25" customHeight="1"/>
    <row r="3" spans="1:5" ht="14.25" customHeight="1">
      <c r="A3" s="59" t="s">
        <v>3</v>
      </c>
      <c r="B3" s="9"/>
      <c r="C3" s="9"/>
      <c r="D3" s="9"/>
      <c r="E3" s="9"/>
    </row>
    <row r="4" spans="1:5" ht="14.25" customHeight="1">
      <c r="A4" s="9"/>
      <c r="B4" s="60">
        <v>2021</v>
      </c>
      <c r="C4" s="60">
        <v>2022</v>
      </c>
      <c r="D4" s="60">
        <v>2023</v>
      </c>
      <c r="E4" s="60">
        <v>2024</v>
      </c>
    </row>
    <row r="5" spans="1:5" ht="14.25" customHeight="1">
      <c r="A5" s="27" t="s">
        <v>38</v>
      </c>
      <c r="B5" s="6">
        <v>75539904</v>
      </c>
      <c r="C5" s="6">
        <v>61713305.500000007</v>
      </c>
      <c r="D5" s="6">
        <v>57535362.5</v>
      </c>
      <c r="E5" s="6">
        <v>55477922.5</v>
      </c>
    </row>
    <row r="6" spans="1:5" ht="14.25" customHeight="1">
      <c r="A6" s="61">
        <v>2021</v>
      </c>
      <c r="B6" s="6">
        <v>131869556.49999999</v>
      </c>
      <c r="C6" s="6">
        <v>52597105</v>
      </c>
      <c r="D6" s="6">
        <v>45025838</v>
      </c>
      <c r="E6" s="6">
        <v>41006845</v>
      </c>
    </row>
    <row r="7" spans="1:5" ht="14.25" customHeight="1">
      <c r="A7" s="61">
        <v>2022</v>
      </c>
      <c r="B7" s="6">
        <v>0</v>
      </c>
      <c r="C7" s="6">
        <v>106151952.5</v>
      </c>
      <c r="D7" s="6">
        <v>40414088</v>
      </c>
      <c r="E7" s="6">
        <v>31974173</v>
      </c>
    </row>
    <row r="8" spans="1:5" ht="14.25" customHeight="1">
      <c r="A8" s="61">
        <v>2023</v>
      </c>
      <c r="B8" s="6">
        <v>0</v>
      </c>
      <c r="C8" s="6">
        <v>0</v>
      </c>
      <c r="D8" s="6">
        <v>123174633.99999999</v>
      </c>
      <c r="E8" s="6">
        <v>44414436</v>
      </c>
    </row>
    <row r="9" spans="1:5" ht="14.25" customHeight="1">
      <c r="A9" s="61">
        <v>2024</v>
      </c>
      <c r="B9" s="6">
        <v>0</v>
      </c>
      <c r="C9" s="6">
        <v>0</v>
      </c>
      <c r="D9" s="6">
        <v>0</v>
      </c>
      <c r="E9" s="6">
        <v>152727327.5</v>
      </c>
    </row>
    <row r="10" spans="1:5" ht="14.25" customHeight="1">
      <c r="A10" s="9"/>
      <c r="B10" s="9"/>
      <c r="C10" s="9"/>
      <c r="D10" s="9"/>
      <c r="E10" s="9"/>
    </row>
    <row r="11" spans="1:5" ht="14.25" customHeight="1">
      <c r="A11" s="59" t="s">
        <v>4</v>
      </c>
      <c r="B11" s="9"/>
      <c r="C11" s="9"/>
      <c r="D11" s="9"/>
      <c r="E11" s="9"/>
    </row>
    <row r="12" spans="1:5" ht="14.25" customHeight="1">
      <c r="A12" s="9"/>
      <c r="B12" s="60">
        <v>2021</v>
      </c>
      <c r="C12" s="60">
        <v>2022</v>
      </c>
      <c r="D12" s="60">
        <v>2023</v>
      </c>
      <c r="E12" s="60">
        <v>2024</v>
      </c>
    </row>
    <row r="13" spans="1:5" ht="14.25" customHeight="1">
      <c r="A13" s="27" t="s">
        <v>38</v>
      </c>
      <c r="B13" s="6">
        <v>37487741.5</v>
      </c>
      <c r="C13" s="6">
        <v>30335338</v>
      </c>
      <c r="D13" s="6">
        <v>27485474.5</v>
      </c>
      <c r="E13" s="6">
        <v>26831497</v>
      </c>
    </row>
    <row r="14" spans="1:5" ht="14.25" customHeight="1">
      <c r="A14" s="61">
        <v>2021</v>
      </c>
      <c r="B14" s="6">
        <v>66061534</v>
      </c>
      <c r="C14" s="6">
        <v>25603149</v>
      </c>
      <c r="D14" s="6">
        <v>21266118.5</v>
      </c>
      <c r="E14" s="6">
        <v>19554051</v>
      </c>
    </row>
    <row r="15" spans="1:5" ht="14.25" customHeight="1">
      <c r="A15" s="61">
        <v>2022</v>
      </c>
      <c r="B15" s="6">
        <v>0</v>
      </c>
      <c r="C15" s="6">
        <v>51967833.5</v>
      </c>
      <c r="D15" s="6">
        <v>19015788</v>
      </c>
      <c r="E15" s="6">
        <v>15258798.5</v>
      </c>
    </row>
    <row r="16" spans="1:5" ht="14.25" customHeight="1">
      <c r="A16" s="61">
        <v>2023</v>
      </c>
      <c r="B16" s="6">
        <v>0</v>
      </c>
      <c r="C16" s="6">
        <v>0</v>
      </c>
      <c r="D16" s="6">
        <v>59071749</v>
      </c>
      <c r="E16" s="6">
        <v>20970295.5</v>
      </c>
    </row>
    <row r="17" spans="1:5" ht="14.25" customHeight="1">
      <c r="A17" s="61">
        <v>2024</v>
      </c>
      <c r="B17" s="6">
        <v>0</v>
      </c>
      <c r="C17" s="6">
        <v>0</v>
      </c>
      <c r="D17" s="6">
        <v>0</v>
      </c>
      <c r="E17" s="6">
        <v>73401526</v>
      </c>
    </row>
    <row r="18" spans="1:5" ht="14.25" customHeight="1">
      <c r="A18" s="9"/>
      <c r="B18" s="9"/>
      <c r="C18" s="9"/>
      <c r="D18" s="9"/>
      <c r="E18" s="9"/>
    </row>
    <row r="19" spans="1:5" ht="14.25" customHeight="1">
      <c r="A19" s="59" t="s">
        <v>1</v>
      </c>
      <c r="B19" s="9"/>
      <c r="C19" s="9"/>
      <c r="D19" s="9"/>
      <c r="E19" s="9"/>
    </row>
    <row r="20" spans="1:5" ht="14.25" customHeight="1">
      <c r="A20" s="9"/>
      <c r="B20" s="60">
        <v>2021</v>
      </c>
      <c r="C20" s="60">
        <v>2022</v>
      </c>
      <c r="D20" s="60">
        <v>2023</v>
      </c>
      <c r="E20" s="60">
        <v>2024</v>
      </c>
    </row>
    <row r="21" spans="1:5" ht="14.25" customHeight="1">
      <c r="A21" s="27" t="s">
        <v>38</v>
      </c>
      <c r="B21" s="6">
        <v>5751</v>
      </c>
      <c r="C21" s="6">
        <v>4636</v>
      </c>
      <c r="D21" s="6">
        <v>4233</v>
      </c>
      <c r="E21" s="6">
        <v>3921</v>
      </c>
    </row>
    <row r="22" spans="1:5" ht="14.25" customHeight="1">
      <c r="A22" s="61">
        <v>2021</v>
      </c>
      <c r="B22" s="6">
        <v>14915</v>
      </c>
      <c r="C22" s="6">
        <v>4107</v>
      </c>
      <c r="D22" s="6">
        <v>3491</v>
      </c>
      <c r="E22" s="6">
        <v>3075</v>
      </c>
    </row>
    <row r="23" spans="1:5" ht="14.25" customHeight="1">
      <c r="A23" s="61">
        <v>2022</v>
      </c>
      <c r="B23" s="6"/>
      <c r="C23" s="6">
        <v>12720</v>
      </c>
      <c r="D23" s="6">
        <v>3389</v>
      </c>
      <c r="E23" s="6">
        <v>2686</v>
      </c>
    </row>
    <row r="24" spans="1:5" ht="14.25" customHeight="1">
      <c r="A24" s="61">
        <v>2023</v>
      </c>
      <c r="B24" s="6"/>
      <c r="C24" s="6"/>
      <c r="D24" s="6">
        <v>15166</v>
      </c>
      <c r="E24" s="6">
        <v>3799</v>
      </c>
    </row>
    <row r="25" spans="1:5" ht="14.25" customHeight="1">
      <c r="A25" s="61">
        <v>2024</v>
      </c>
      <c r="B25" s="6"/>
      <c r="C25" s="6"/>
      <c r="D25" s="6"/>
      <c r="E25" s="6">
        <v>18316</v>
      </c>
    </row>
    <row r="26" spans="1:5" ht="14.25" customHeight="1">
      <c r="A26" s="9"/>
      <c r="B26" s="9"/>
      <c r="C26" s="9"/>
      <c r="D26" s="9"/>
      <c r="E26" s="9"/>
    </row>
    <row r="27" spans="1:5" ht="14.25" customHeight="1">
      <c r="A27" s="59" t="s">
        <v>2</v>
      </c>
      <c r="B27" s="9"/>
      <c r="C27" s="9"/>
      <c r="D27" s="9"/>
      <c r="E27" s="9"/>
    </row>
    <row r="28" spans="1:5" ht="14.25" customHeight="1">
      <c r="A28" s="9"/>
      <c r="B28" s="60">
        <v>2021</v>
      </c>
      <c r="C28" s="60">
        <v>2022</v>
      </c>
      <c r="D28" s="60">
        <v>2023</v>
      </c>
      <c r="E28" s="60">
        <v>2024</v>
      </c>
    </row>
    <row r="29" spans="1:5" ht="14.25" customHeight="1">
      <c r="A29" s="27" t="s">
        <v>38</v>
      </c>
      <c r="B29" s="6">
        <v>13739</v>
      </c>
      <c r="C29" s="6">
        <v>11475</v>
      </c>
      <c r="D29" s="6">
        <v>11331</v>
      </c>
      <c r="E29" s="6">
        <v>10581</v>
      </c>
    </row>
    <row r="30" spans="1:5" ht="14.25" customHeight="1">
      <c r="A30" s="61">
        <v>2021</v>
      </c>
      <c r="B30" s="6">
        <v>22911</v>
      </c>
      <c r="C30" s="6">
        <v>10035</v>
      </c>
      <c r="D30" s="6">
        <v>9346</v>
      </c>
      <c r="E30" s="6">
        <v>8197</v>
      </c>
    </row>
    <row r="31" spans="1:5" ht="14.25" customHeight="1">
      <c r="A31" s="61">
        <v>2022</v>
      </c>
      <c r="B31" s="6"/>
      <c r="C31" s="6">
        <v>18640</v>
      </c>
      <c r="D31" s="6">
        <v>7992</v>
      </c>
      <c r="E31" s="6">
        <v>6336</v>
      </c>
    </row>
    <row r="32" spans="1:5" ht="14.25" customHeight="1">
      <c r="A32" s="61">
        <v>2023</v>
      </c>
      <c r="B32" s="6"/>
      <c r="C32" s="6"/>
      <c r="D32" s="6">
        <v>22735</v>
      </c>
      <c r="E32" s="6">
        <v>9002</v>
      </c>
    </row>
    <row r="33" spans="1:5" ht="14.25" customHeight="1">
      <c r="A33" s="61">
        <v>2024</v>
      </c>
      <c r="B33" s="6"/>
      <c r="C33" s="6"/>
      <c r="D33" s="6"/>
      <c r="E33" s="6">
        <v>27144</v>
      </c>
    </row>
    <row r="34" spans="1:5" ht="14.25" customHeight="1"/>
    <row r="35" spans="1:5" ht="14.25" customHeight="1"/>
    <row r="36" spans="1:5" ht="14.25" customHeight="1"/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Deciles</vt:lpstr>
      <vt:lpstr>One cohort</vt:lpstr>
      <vt:lpstr>Three cohorts</vt:lpstr>
      <vt:lpstr>Year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TechHub</cp:lastModifiedBy>
  <dcterms:modified xsi:type="dcterms:W3CDTF">2026-03-11T14:19:14Z</dcterms:modified>
</cp:coreProperties>
</file>